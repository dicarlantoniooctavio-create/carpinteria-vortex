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ámparas" sheetId="1" state="visible" r:id="rId3"/>
    <sheet name="Máquinas" sheetId="2" state="visible" r:id="rId4"/>
    <sheet name="Cables" sheetId="3" state="visible" r:id="rId5"/>
    <sheet name="Circuitos" sheetId="4" state="visible" r:id="rId6"/>
    <sheet name="Transcripción" sheetId="5" state="visible" r:id="rId7"/>
    <sheet name="Observacion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<sst xmlns="http://schemas.openxmlformats.org/spreadsheetml/2006/main" count="199" uniqueCount="168">
  <si>
    <t xml:space="preserve">Cálculos Carpintería – Lámparas (hoja 4)</t>
  </si>
  <si>
    <t xml:space="preserve">Azul = dato anotado a mano · Negro = fórmula · Amarillo = lectura dudosa / a revisar. Corriente = Potencia / Tensión.</t>
  </si>
  <si>
    <t xml:space="preserve">Tensión (V)</t>
  </si>
  <si>
    <t xml:space="preserve">Dato anotado en las hojas</t>
  </si>
  <si>
    <t xml:space="preserve">Ubicación</t>
  </si>
  <si>
    <t xml:space="preserve">Tipo de lámpara</t>
  </si>
  <si>
    <t xml:space="preserve">Cantidad</t>
  </si>
  <si>
    <t xml:space="preserve">Potencia c/u (W)</t>
  </si>
  <si>
    <t xml:space="preserve">Potencia total (W)</t>
  </si>
  <si>
    <t xml:space="preserve">Corriente (A)</t>
  </si>
  <si>
    <t xml:space="preserve">Observaciones</t>
  </si>
  <si>
    <t xml:space="preserve">Carpintería</t>
  </si>
  <si>
    <t xml:space="preserve">Campana industrial IP65, 6500K (fría), 9000 lúmenes</t>
  </si>
  <si>
    <t xml:space="preserve">Anotado: 4x100W/220 = 1,8 A</t>
  </si>
  <si>
    <t xml:space="preserve">Negocio</t>
  </si>
  <si>
    <t xml:space="preserve">Panel LED blanco 4000K</t>
  </si>
  <si>
    <t xml:space="preserve">Anotado: 160/220 = 0,72 A</t>
  </si>
  <si>
    <t xml:space="preserve">Oficina</t>
  </si>
  <si>
    <t xml:space="preserve">Panel LED igual al del negocio</t>
  </si>
  <si>
    <t xml:space="preserve">Ver 'Observaciones': el cálculo anotado (12x3) no coincide con 40 W</t>
  </si>
  <si>
    <t xml:space="preserve">Baño</t>
  </si>
  <si>
    <t xml:space="preserve">LED 12V, 12W, 1100 lúmenes</t>
  </si>
  <si>
    <t xml:space="preserve">Luz LED tipo 'tramoui' (palabra dudosa)</t>
  </si>
  <si>
    <t xml:space="preserve">Cocina</t>
  </si>
  <si>
    <t xml:space="preserve">Misma lámpara que el baño</t>
  </si>
  <si>
    <t xml:space="preserve">TOTAL</t>
  </si>
  <si>
    <t xml:space="preserve">Anotado: '11 lámparas' (coincide con la suma)</t>
  </si>
  <si>
    <t xml:space="preserve">Resumen según los cálculos anotados a mano</t>
  </si>
  <si>
    <t xml:space="preserve">Grupo</t>
  </si>
  <si>
    <t xml:space="preserve">Cuenta anotada</t>
  </si>
  <si>
    <t xml:space="preserve">Potencia (W)</t>
  </si>
  <si>
    <t xml:space="preserve">Corriente calculada (A)</t>
  </si>
  <si>
    <t xml:space="preserve">Corriente anotada (A)</t>
  </si>
  <si>
    <t xml:space="preserve">4x100W / 220</t>
  </si>
  <si>
    <t xml:space="preserve">160 / 220</t>
  </si>
  <si>
    <t xml:space="preserve">Oficina + baño + cocina</t>
  </si>
  <si>
    <t xml:space="preserve">12x3 / 220 (leído '12x3V')</t>
  </si>
  <si>
    <t xml:space="preserve">¿Cuánto consume en total?</t>
  </si>
  <si>
    <t xml:space="preserve">Máquinas de la carpintería (hoja 3)</t>
  </si>
  <si>
    <t xml:space="preserve">Azul = dato anotado · Negro = fórmula · Amarillo = lectura dudosa.</t>
  </si>
  <si>
    <t xml:space="preserve">Máquina</t>
  </si>
  <si>
    <t xml:space="preserve">Circuito</t>
  </si>
  <si>
    <t xml:space="preserve">Sierra de banco</t>
  </si>
  <si>
    <t xml:space="preserve">TUE</t>
  </si>
  <si>
    <t xml:space="preserve">Anotado '10A' y 'TUE'</t>
  </si>
  <si>
    <t xml:space="preserve">Cepilladora</t>
  </si>
  <si>
    <t xml:space="preserve">TUG</t>
  </si>
  <si>
    <t xml:space="preserve">Potencia ilegible (leída '1900'?). Corriente anotada 8,6 A (hoja 1) / '8,81 A' (hoja 3)</t>
  </si>
  <si>
    <t xml:space="preserve">Sierra ingletadora</t>
  </si>
  <si>
    <t xml:space="preserve">Cepillo garlopa</t>
  </si>
  <si>
    <t xml:space="preserve">Fresadora</t>
  </si>
  <si>
    <t xml:space="preserve">Sumas anotadas</t>
  </si>
  <si>
    <t xml:space="preserve">Concepto</t>
  </si>
  <si>
    <t xml:space="preserve">Componentes</t>
  </si>
  <si>
    <t xml:space="preserve">Suma calculada (A)</t>
  </si>
  <si>
    <t xml:space="preserve">Valor anotado (A)</t>
  </si>
  <si>
    <t xml:space="preserve">'Para TUG (demás)'</t>
  </si>
  <si>
    <t xml:space="preserve">Sierra ingletadora + Cepillo garlopa</t>
  </si>
  <si>
    <t xml:space="preserve">Coincide con la suma de ingletadora + garlopa</t>
  </si>
  <si>
    <t xml:space="preserve">Cable p/ máquinas de mayor amperaje</t>
  </si>
  <si>
    <t xml:space="preserve">Sierra de banco + Cepilladora</t>
  </si>
  <si>
    <t xml:space="preserve">—</t>
  </si>
  <si>
    <t xml:space="preserve">Hoja 1: 10 A + 8,6 A = 18,6 A. Allí dice 'trifásicas'; en hoja 3 anota 'monofásico'</t>
  </si>
  <si>
    <t xml:space="preserve">Otras anotaciones de la hoja 3</t>
  </si>
  <si>
    <t xml:space="preserve">IUG2: 5x100W / 220 = 2,27 A  ('lo mismo' para IUG3 e IUG4)</t>
  </si>
  <si>
    <t xml:space="preserve">Cocina TUG: '3500W + 2200W +' (cuenta sin terminar / texto dudoso)</t>
  </si>
  <si>
    <t xml:space="preserve">'Un filar(?) de TUG, TUG, TUE – monofásico' (palabra dudosa)</t>
  </si>
  <si>
    <t xml:space="preserve">IUG2 (cálculo)</t>
  </si>
  <si>
    <t xml:space="preserve">5 lámparas x 100 W</t>
  </si>
  <si>
    <t xml:space="preserve">IUG2</t>
  </si>
  <si>
    <t xml:space="preserve">Calculado: 500 W / 220 V</t>
  </si>
  <si>
    <t xml:space="preserve">Cables: sección según corriente (hojas 1 y 2)</t>
  </si>
  <si>
    <t xml:space="preserve">Corriente = Potencia / Tensión. 'Soporta' = capacidad anotada del cable. Margen = Soporta − Corriente.</t>
  </si>
  <si>
    <t xml:space="preserve">Sección (mm²)</t>
  </si>
  <si>
    <t xml:space="preserve">Soporta (A)</t>
  </si>
  <si>
    <t xml:space="preserve">Margen (A)</t>
  </si>
  <si>
    <t xml:space="preserve">Hoja 2: 2200W/220V = 10 A</t>
  </si>
  <si>
    <t xml:space="preserve">Hoja 2: 3600W/220(V) = 16,36 A</t>
  </si>
  <si>
    <t xml:space="preserve">IUG (negocio, cocina, baño y oficina)</t>
  </si>
  <si>
    <t xml:space="preserve">Hoja 2: 4 lámparas x 40W c/u = 160W</t>
  </si>
  <si>
    <t xml:space="preserve">Máquinas de mayor amperaje</t>
  </si>
  <si>
    <t xml:space="preserve">Hoja 1: 10A + 8,6A = 18,6 A. Aquí '4mm² soportan 25A' vs. 18 A en TUG: revisar</t>
  </si>
  <si>
    <t xml:space="preserve">Cálculo tachado en la hoja 2 (descartado por la autora)</t>
  </si>
  <si>
    <t xml:space="preserve">Negocio IUG (1 lámpara)</t>
  </si>
  <si>
    <t xml:space="preserve">Tachado: 40W/220V = 0,18 A; baño, cocina, oficina</t>
  </si>
  <si>
    <t xml:space="preserve">Nota: en la hoja 2 aparece 'Tierra:' dos veces (junto a TUE y TUG) sin valor anotado.</t>
  </si>
  <si>
    <t xml:space="preserve">Esquema de protecciones (diagrama de la hoja 3)</t>
  </si>
  <si>
    <t xml:space="preserve">Interruptores termomagnéticos dibujados bajo el esquema de la casa.</t>
  </si>
  <si>
    <t xml:space="preserve">In (A)</t>
  </si>
  <si>
    <t xml:space="preserve">Curva</t>
  </si>
  <si>
    <t xml:space="preserve">Uso anotado</t>
  </si>
  <si>
    <t xml:space="preserve">IUG1</t>
  </si>
  <si>
    <t xml:space="preserve">C</t>
  </si>
  <si>
    <t xml:space="preserve">Iluminación (la hoja 1 anota 'IUG = Carpintería 100W')</t>
  </si>
  <si>
    <t xml:space="preserve">Iluminación (5x100W = 2,27 A)</t>
  </si>
  <si>
    <t xml:space="preserve">IUG3</t>
  </si>
  <si>
    <t xml:space="preserve">Iluminación ('lo mismo' que IUG2)</t>
  </si>
  <si>
    <t xml:space="preserve">IUG4</t>
  </si>
  <si>
    <t xml:space="preserve">Negocio, oficina y baño (hoja 4)</t>
  </si>
  <si>
    <t xml:space="preserve">TUG1</t>
  </si>
  <si>
    <t xml:space="preserve">Tomacorrientes de uso general</t>
  </si>
  <si>
    <t xml:space="preserve">Corriente TUG calculada: 16,36 A (hoja 2), mayor que In = 16 A</t>
  </si>
  <si>
    <t xml:space="preserve">TUE1</t>
  </si>
  <si>
    <t xml:space="preserve">ilegible</t>
  </si>
  <si>
    <t xml:space="preserve">Tomacorriente de uso especial</t>
  </si>
  <si>
    <t xml:space="preserve">In ilegible (parece '2?A'); carga TUE anotada 10 A</t>
  </si>
  <si>
    <t xml:space="preserve">Transcripción literal de las 4 hojas</t>
  </si>
  <si>
    <t xml:space="preserve">[?] = lectura dudosa · [ilegible] = no se puede leer · [tachado] = texto tachado en el original</t>
  </si>
  <si>
    <t xml:space="preserve">Hoja</t>
  </si>
  <si>
    <t xml:space="preserve">Línea</t>
  </si>
  <si>
    <t xml:space="preserve">Texto</t>
  </si>
  <si>
    <t xml:space="preserve">Hoja 1 (WhatsApp 19.59.06)</t>
  </si>
  <si>
    <t xml:space="preserve">IUG = Carpintería</t>
  </si>
  <si>
    <t xml:space="preserve">100W</t>
  </si>
  <si>
    <t xml:space="preserve">~~~ (línea divisoria) ~~~</t>
  </si>
  <si>
    <t xml:space="preserve">Cable para máquinas trifásicas mayores amperaje = 10A + 8,6A = 18,6A</t>
  </si>
  <si>
    <t xml:space="preserve">[tachado ilegible]</t>
  </si>
  <si>
    <t xml:space="preserve">4mm² soportan 25A</t>
  </si>
  <si>
    <t xml:space="preserve">Hoja 2 (WhatsApp 19.58.55)</t>
  </si>
  <si>
    <t xml:space="preserve">[título tachado]   —   Tierra:</t>
  </si>
  <si>
    <t xml:space="preserve">Cables = sección</t>
  </si>
  <si>
    <t xml:space="preserve">TUE = 2200W / 220V = 10A</t>
  </si>
  <si>
    <t xml:space="preserve">1,5 mm² soporta 13A</t>
  </si>
  <si>
    <t xml:space="preserve">TUG = 3600W / 220A(V) = 16,36A   —   Tierra:</t>
  </si>
  <si>
    <t xml:space="preserve">4mm² soporta 18A</t>
  </si>
  <si>
    <t xml:space="preserve">[tachado] Negocio IUG – 40W; baño, cocina, oficina: 40W / 220V = 0,18A ; 1mm² soporta 9,6A</t>
  </si>
  <si>
    <t xml:space="preserve">IUG negocio, cocina, baño y oficina</t>
  </si>
  <si>
    <t xml:space="preserve">4 lámparas x 40W c/u = 160W / 220V = 0,72A</t>
  </si>
  <si>
    <t xml:space="preserve">1mm² soportan 9,6A</t>
  </si>
  <si>
    <t xml:space="preserve">Hoja 3 (WhatsApp 19.18.17 (1))</t>
  </si>
  <si>
    <t xml:space="preserve">IUG2 — 5x100W / 220 = 2,27A</t>
  </si>
  <si>
    <t xml:space="preserve">Lo mismo: IUG3, IUG4</t>
  </si>
  <si>
    <t xml:space="preserve">Sierra de banco: 2200W – 10A – TUE</t>
  </si>
  <si>
    <t xml:space="preserve">Cepilladora: [1900W?] – 8,6A [8,81A?] – TUG</t>
  </si>
  <si>
    <t xml:space="preserve">Sierra ingletadora: 1600W – 7,27A – TUG</t>
  </si>
  <si>
    <t xml:space="preserve">Cepillo garlopa: 1500W – 6,81A – TUG</t>
  </si>
  <si>
    <t xml:space="preserve">Para TUG (demás): 14,09A</t>
  </si>
  <si>
    <t xml:space="preserve">Fresadora – 1400W – 6,36A – TUG</t>
  </si>
  <si>
    <t xml:space="preserve">Cocina TUG: 3500W + 2200W + [?]</t>
  </si>
  <si>
    <t xml:space="preserve">Un filar(?) de TUG, TUG, TUE – monofásico</t>
  </si>
  <si>
    <t xml:space="preserve">(dibujo de una casa y 6 interruptores)</t>
  </si>
  <si>
    <t xml:space="preserve">IUG1 In=4A Curva C | IUG2 In=4A Curva C | IUG3 In=4A Curva C | IUG4 In=4A Curva C | TUG1 In=16A Curva C | TUE1 In=[ilegible] Curva C</t>
  </si>
  <si>
    <t xml:space="preserve">Hoja 4 (WhatsApp 19.18.17)</t>
  </si>
  <si>
    <t xml:space="preserve">Cálculos Carpintería</t>
  </si>
  <si>
    <t xml:space="preserve">Lámparas</t>
  </si>
  <si>
    <t xml:space="preserve">Negocio, oficina y baño (IUG4)</t>
  </si>
  <si>
    <t xml:space="preserve">Para la oficina y negocio:</t>
  </si>
  <si>
    <t xml:space="preserve">Negocio: 4 lámparas blancas tipo panel LED 4000K, 40W</t>
  </si>
  <si>
    <t xml:space="preserve">Oficina: 1 lámpara igual a la del negocio.</t>
  </si>
  <si>
    <t xml:space="preserve">Baño y cocina: tramoui(?), luz LED de 12V, 12W, 1100 lúmenes (para c/u)</t>
  </si>
  <si>
    <t xml:space="preserve">Carpintería: campana industrial IP65 [4000K tachado] 6500K fría, [120W tachado] 9000 lúmenes, 100W</t>
  </si>
  <si>
    <t xml:space="preserve">IUG: 11 lámparas, de ellas:</t>
  </si>
  <si>
    <t xml:space="preserve">Carpintería consume: 4x100W / 220 = [tachado] 1,8A</t>
  </si>
  <si>
    <t xml:space="preserve">Negocio consume: 160 / 220 = 0,72A</t>
  </si>
  <si>
    <t xml:space="preserve">Oficina + baño + cocina consumen: 12x3V / 220 = 0,16A</t>
  </si>
  <si>
    <t xml:space="preserve">¿Cuánto consume en total? 2,69A</t>
  </si>
  <si>
    <t xml:space="preserve">Puntos a revisar detectados al transcribir</t>
  </si>
  <si>
    <t xml:space="preserve">#</t>
  </si>
  <si>
    <t xml:space="preserve">Observación</t>
  </si>
  <si>
    <t xml:space="preserve">TUG: la corriente calculada es 16,36 A (3600 W / 220 V) y el interruptor TUG1 anotado es de 16 A: la carga supera la corriente nominal.</t>
  </si>
  <si>
    <t xml:space="preserve">Sección de 4 mm²: la hoja 2 anota que soporta 18 A (TUG) y la hoja 1 anota 25 A (máquinas). Conviene unificar el criterio.</t>
  </si>
  <si>
    <t xml:space="preserve">Oficina: la hoja 4 dice que lleva un panel igual al del negocio (40 W), pero el cálculo 'oficina + baño + cocina = 12x3 / 220 = 0,16 A' equivale a 3 lámparas de 12 W (36 W). Con 40 W + 12 W + 12 W serían 64 W = 0,29 A.</t>
  </si>
  <si>
    <t xml:space="preserve">Total de lámparas: 4 (carpintería) + 4 (negocio) + 1 (oficina) + 1 (baño) + 1 (cocina) = 11, coincide con lo anotado.</t>
  </si>
  <si>
    <t xml:space="preserve">Total consumo: la suma de los tres grupos da 2,71 A y la hoja anota 2,69 A (diferencia por redondeo).</t>
  </si>
  <si>
    <t xml:space="preserve">Hoja 1 dice 'máquinas trifásicas' y la hoja 3 dice 'monofásico': revisar cuál es correcto.</t>
  </si>
  <si>
    <t xml:space="preserve">TUE1: el valor In del interruptor no se lee en la foto.</t>
  </si>
  <si>
    <t xml:space="preserve">Cepilladora: potencia y corriente poco legibles (8,6 A / 8,81 A). Se usó 1900 W / 8,6 A como mejor lectura.</t>
  </si>
  <si>
    <t xml:space="preserve">Revisión recomendada por un electricista matriculado antes de ejecutar la instalación.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</si>
</sst>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trike val="true"/>
      <sz val="10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1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4"/>
    <col collapsed="false" customWidth="true" hidden="false" outlineLevel="0" max="3" min="3" style="0" width="11"/>
    <col collapsed="false" customWidth="true" hidden="false" outlineLevel="0" max="6" min="4" style="0" width="16"/>
    <col collapsed="false" customWidth="true" hidden="false" outlineLevel="0" max="7" min="7" style="0" width="5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4" t="n">
        <v>220</v>
      </c>
      <c r="C3" s="5" t="s">
        <v>3</v>
      </c>
    </row>
    <row r="5" customFormat="false" ht="31.5" hidden="false" customHeight="true" outlineLevel="0" collapsed="false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</row>
    <row r="6" customFormat="false" ht="15" hidden="false" customHeight="false" outlineLevel="0" collapsed="false">
      <c r="A6" s="7" t="s">
        <v>11</v>
      </c>
      <c r="B6" s="7" t="s">
        <v>12</v>
      </c>
      <c r="C6" s="8" t="n">
        <v>4</v>
      </c>
      <c r="D6" s="8" t="n">
        <v>100</v>
      </c>
      <c r="E6" s="7" t="n">
        <f aca="false">C6*D6</f>
        <v>400</v>
      </c>
      <c r="F6" s="9" t="n">
        <f aca="false">E6/$B$3</f>
        <v>1.81818181818182</v>
      </c>
      <c r="G6" s="7" t="s">
        <v>13</v>
      </c>
    </row>
    <row r="7" customFormat="false" ht="15" hidden="false" customHeight="false" outlineLevel="0" collapsed="false">
      <c r="A7" s="7" t="s">
        <v>14</v>
      </c>
      <c r="B7" s="7" t="s">
        <v>15</v>
      </c>
      <c r="C7" s="8" t="n">
        <v>4</v>
      </c>
      <c r="D7" s="8" t="n">
        <v>40</v>
      </c>
      <c r="E7" s="7" t="n">
        <f aca="false">C7*D7</f>
        <v>160</v>
      </c>
      <c r="F7" s="9" t="n">
        <f aca="false">E7/$B$3</f>
        <v>0.727272727272727</v>
      </c>
      <c r="G7" s="7" t="s">
        <v>16</v>
      </c>
    </row>
    <row r="8" customFormat="false" ht="23.85" hidden="false" customHeight="false" outlineLevel="0" collapsed="false">
      <c r="A8" s="7" t="s">
        <v>17</v>
      </c>
      <c r="B8" s="7" t="s">
        <v>18</v>
      </c>
      <c r="C8" s="8" t="n">
        <v>1</v>
      </c>
      <c r="D8" s="8" t="n">
        <v>40</v>
      </c>
      <c r="E8" s="7" t="n">
        <f aca="false">C8*D8</f>
        <v>40</v>
      </c>
      <c r="F8" s="9" t="n">
        <f aca="false">E8/$B$3</f>
        <v>0.181818181818182</v>
      </c>
      <c r="G8" s="10" t="s">
        <v>19</v>
      </c>
    </row>
    <row r="9" customFormat="false" ht="15" hidden="false" customHeight="false" outlineLevel="0" collapsed="false">
      <c r="A9" s="7" t="s">
        <v>20</v>
      </c>
      <c r="B9" s="7" t="s">
        <v>21</v>
      </c>
      <c r="C9" s="8" t="n">
        <v>1</v>
      </c>
      <c r="D9" s="8" t="n">
        <v>12</v>
      </c>
      <c r="E9" s="7" t="n">
        <f aca="false">C9*D9</f>
        <v>12</v>
      </c>
      <c r="F9" s="9" t="n">
        <f aca="false">E9/$B$3</f>
        <v>0.0545454545454545</v>
      </c>
      <c r="G9" s="7" t="s">
        <v>22</v>
      </c>
    </row>
    <row r="10" customFormat="false" ht="15" hidden="false" customHeight="false" outlineLevel="0" collapsed="false">
      <c r="A10" s="7" t="s">
        <v>23</v>
      </c>
      <c r="B10" s="7" t="s">
        <v>21</v>
      </c>
      <c r="C10" s="8" t="n">
        <v>1</v>
      </c>
      <c r="D10" s="8" t="n">
        <v>12</v>
      </c>
      <c r="E10" s="7" t="n">
        <f aca="false">C10*D10</f>
        <v>12</v>
      </c>
      <c r="F10" s="9" t="n">
        <f aca="false">E10/$B$3</f>
        <v>0.0545454545454545</v>
      </c>
      <c r="G10" s="7" t="s">
        <v>24</v>
      </c>
    </row>
    <row r="11" customFormat="false" ht="15" hidden="false" customHeight="false" outlineLevel="0" collapsed="false">
      <c r="A11" s="11" t="s">
        <v>25</v>
      </c>
      <c r="B11" s="11"/>
      <c r="C11" s="11" t="n">
        <f aca="false">SUM(C6:C10)</f>
        <v>11</v>
      </c>
      <c r="D11" s="11"/>
      <c r="E11" s="11" t="n">
        <f aca="false">SUM(E6:E10)</f>
        <v>624</v>
      </c>
      <c r="F11" s="12" t="n">
        <f aca="false">SUM(F6:F10)</f>
        <v>2.83636363636364</v>
      </c>
      <c r="G11" s="11" t="s">
        <v>26</v>
      </c>
    </row>
    <row r="13" customFormat="false" ht="15" hidden="false" customHeight="false" outlineLevel="0" collapsed="false">
      <c r="A13" s="3" t="s">
        <v>27</v>
      </c>
    </row>
    <row r="14" customFormat="false" ht="31.5" hidden="false" customHeight="true" outlineLevel="0" collapsed="false">
      <c r="A14" s="6" t="s">
        <v>28</v>
      </c>
      <c r="B14" s="6" t="s">
        <v>29</v>
      </c>
      <c r="C14" s="6"/>
      <c r="D14" s="6"/>
      <c r="E14" s="6" t="s">
        <v>30</v>
      </c>
      <c r="F14" s="6" t="s">
        <v>31</v>
      </c>
      <c r="G14" s="6" t="s">
        <v>32</v>
      </c>
    </row>
    <row r="15" customFormat="false" ht="15" hidden="false" customHeight="false" outlineLevel="0" collapsed="false">
      <c r="A15" s="7" t="s">
        <v>11</v>
      </c>
      <c r="B15" s="7" t="s">
        <v>33</v>
      </c>
      <c r="C15" s="7"/>
      <c r="D15" s="7"/>
      <c r="E15" s="8" t="n">
        <v>400</v>
      </c>
      <c r="F15" s="9" t="n">
        <f aca="false">E15/$B$3</f>
        <v>1.81818181818182</v>
      </c>
      <c r="G15" s="13" t="n">
        <v>1.8</v>
      </c>
    </row>
    <row r="16" customFormat="false" ht="15" hidden="false" customHeight="false" outlineLevel="0" collapsed="false">
      <c r="A16" s="7" t="s">
        <v>14</v>
      </c>
      <c r="B16" s="7" t="s">
        <v>34</v>
      </c>
      <c r="C16" s="7"/>
      <c r="D16" s="7"/>
      <c r="E16" s="8" t="n">
        <v>160</v>
      </c>
      <c r="F16" s="9" t="n">
        <f aca="false">E16/$B$3</f>
        <v>0.727272727272727</v>
      </c>
      <c r="G16" s="13" t="n">
        <v>0.72</v>
      </c>
    </row>
    <row r="17" customFormat="false" ht="15" hidden="false" customHeight="false" outlineLevel="0" collapsed="false">
      <c r="A17" s="7" t="s">
        <v>35</v>
      </c>
      <c r="B17" s="10" t="s">
        <v>36</v>
      </c>
      <c r="C17" s="7"/>
      <c r="D17" s="7"/>
      <c r="E17" s="8" t="n">
        <v>36</v>
      </c>
      <c r="F17" s="9" t="n">
        <f aca="false">E17/$B$3</f>
        <v>0.163636363636364</v>
      </c>
      <c r="G17" s="13" t="n">
        <v>0.16</v>
      </c>
    </row>
    <row r="18" customFormat="false" ht="15" hidden="false" customHeight="false" outlineLevel="0" collapsed="false">
      <c r="A18" s="11" t="s">
        <v>37</v>
      </c>
      <c r="B18" s="11"/>
      <c r="C18" s="11"/>
      <c r="D18" s="11"/>
      <c r="E18" s="11" t="n">
        <f aca="false">SUM(E15:E17)</f>
        <v>596</v>
      </c>
      <c r="F18" s="12" t="n">
        <f aca="false">SUM(F15:F17)</f>
        <v>2.70909090909091</v>
      </c>
      <c r="G18" s="14" t="n">
        <v>2.69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6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38</v>
      </c>
    </row>
    <row r="2" customFormat="false" ht="15" hidden="false" customHeight="false" outlineLevel="0" collapsed="false">
      <c r="A2" s="2" t="s">
        <v>39</v>
      </c>
    </row>
    <row r="3" customFormat="false" ht="15" hidden="false" customHeight="false" outlineLevel="0" collapsed="false">
      <c r="A3" s="3" t="s">
        <v>2</v>
      </c>
      <c r="B3" s="15" t="n">
        <v>220</v>
      </c>
    </row>
    <row r="5" customFormat="false" ht="31.5" hidden="false" customHeight="true" outlineLevel="0" collapsed="false">
      <c r="A5" s="6" t="s">
        <v>40</v>
      </c>
      <c r="B5" s="6" t="s">
        <v>30</v>
      </c>
      <c r="C5" s="6" t="s">
        <v>31</v>
      </c>
      <c r="D5" s="6" t="s">
        <v>32</v>
      </c>
      <c r="E5" s="6" t="s">
        <v>41</v>
      </c>
      <c r="F5" s="6" t="s">
        <v>10</v>
      </c>
    </row>
    <row r="6" customFormat="false" ht="15" hidden="false" customHeight="false" outlineLevel="0" collapsed="false">
      <c r="A6" s="7" t="s">
        <v>42</v>
      </c>
      <c r="B6" s="8" t="n">
        <v>2200</v>
      </c>
      <c r="C6" s="9" t="n">
        <f aca="false">B6/$B$3</f>
        <v>10</v>
      </c>
      <c r="D6" s="13" t="n">
        <v>10</v>
      </c>
      <c r="E6" s="7" t="s">
        <v>43</v>
      </c>
      <c r="F6" s="7" t="s">
        <v>44</v>
      </c>
    </row>
    <row r="7" customFormat="false" ht="15" hidden="false" customHeight="false" outlineLevel="0" collapsed="false">
      <c r="A7" s="7" t="s">
        <v>45</v>
      </c>
      <c r="B7" s="16" t="n">
        <v>1900</v>
      </c>
      <c r="C7" s="9" t="n">
        <f aca="false">B7/$B$3</f>
        <v>8.63636363636364</v>
      </c>
      <c r="D7" s="13" t="n">
        <v>8.6</v>
      </c>
      <c r="E7" s="7" t="s">
        <v>46</v>
      </c>
      <c r="F7" s="10" t="s">
        <v>47</v>
      </c>
    </row>
    <row r="8" customFormat="false" ht="15" hidden="false" customHeight="false" outlineLevel="0" collapsed="false">
      <c r="A8" s="7" t="s">
        <v>48</v>
      </c>
      <c r="B8" s="8" t="n">
        <v>1600</v>
      </c>
      <c r="C8" s="9" t="n">
        <f aca="false">B8/$B$3</f>
        <v>7.27272727272727</v>
      </c>
      <c r="D8" s="13" t="n">
        <v>7.27</v>
      </c>
      <c r="E8" s="7" t="s">
        <v>46</v>
      </c>
      <c r="F8" s="7"/>
    </row>
    <row r="9" customFormat="false" ht="15" hidden="false" customHeight="false" outlineLevel="0" collapsed="false">
      <c r="A9" s="7" t="s">
        <v>49</v>
      </c>
      <c r="B9" s="8" t="n">
        <v>1500</v>
      </c>
      <c r="C9" s="9" t="n">
        <f aca="false">B9/$B$3</f>
        <v>6.81818181818182</v>
      </c>
      <c r="D9" s="13" t="n">
        <v>6.81</v>
      </c>
      <c r="E9" s="7" t="s">
        <v>46</v>
      </c>
      <c r="F9" s="7"/>
    </row>
    <row r="10" customFormat="false" ht="15" hidden="false" customHeight="false" outlineLevel="0" collapsed="false">
      <c r="A10" s="7" t="s">
        <v>50</v>
      </c>
      <c r="B10" s="8" t="n">
        <v>1400</v>
      </c>
      <c r="C10" s="9" t="n">
        <f aca="false">B10/$B$3</f>
        <v>6.36363636363636</v>
      </c>
      <c r="D10" s="13" t="n">
        <v>6.36</v>
      </c>
      <c r="E10" s="7" t="s">
        <v>46</v>
      </c>
      <c r="F10" s="7"/>
    </row>
    <row r="12" customFormat="false" ht="15" hidden="false" customHeight="false" outlineLevel="0" collapsed="false">
      <c r="A12" s="3" t="s">
        <v>51</v>
      </c>
    </row>
    <row r="13" customFormat="false" ht="31.5" hidden="false" customHeight="true" outlineLevel="0" collapsed="false">
      <c r="A13" s="6" t="s">
        <v>52</v>
      </c>
      <c r="B13" s="6" t="s">
        <v>53</v>
      </c>
      <c r="C13" s="6" t="s">
        <v>54</v>
      </c>
      <c r="D13" s="6" t="s">
        <v>55</v>
      </c>
      <c r="E13" s="6" t="s">
        <v>41</v>
      </c>
      <c r="F13" s="6" t="s">
        <v>10</v>
      </c>
    </row>
    <row r="14" customFormat="false" ht="15" hidden="false" customHeight="false" outlineLevel="0" collapsed="false">
      <c r="A14" s="7" t="s">
        <v>56</v>
      </c>
      <c r="B14" s="7" t="s">
        <v>57</v>
      </c>
      <c r="C14" s="9" t="n">
        <f aca="false">C8+C9</f>
        <v>14.0909090909091</v>
      </c>
      <c r="D14" s="13" t="n">
        <v>14.09</v>
      </c>
      <c r="E14" s="7" t="s">
        <v>46</v>
      </c>
      <c r="F14" s="7" t="s">
        <v>58</v>
      </c>
    </row>
    <row r="15" customFormat="false" ht="15" hidden="false" customHeight="false" outlineLevel="0" collapsed="false">
      <c r="A15" s="7" t="s">
        <v>59</v>
      </c>
      <c r="B15" s="7" t="s">
        <v>60</v>
      </c>
      <c r="C15" s="9" t="n">
        <f aca="false">D6+D7</f>
        <v>18.6</v>
      </c>
      <c r="D15" s="13" t="n">
        <v>18.6</v>
      </c>
      <c r="E15" s="7" t="s">
        <v>61</v>
      </c>
      <c r="F15" s="10" t="s">
        <v>62</v>
      </c>
    </row>
    <row r="17" customFormat="false" ht="15" hidden="false" customHeight="false" outlineLevel="0" collapsed="false">
      <c r="A17" s="3" t="s">
        <v>63</v>
      </c>
    </row>
    <row r="18" customFormat="false" ht="15" hidden="false" customHeight="false" outlineLevel="0" collapsed="false">
      <c r="A18" s="17" t="s">
        <v>64</v>
      </c>
    </row>
    <row r="19" customFormat="false" ht="15" hidden="false" customHeight="false" outlineLevel="0" collapsed="false">
      <c r="A19" s="17" t="s">
        <v>65</v>
      </c>
    </row>
    <row r="20" customFormat="false" ht="15" hidden="false" customHeight="false" outlineLevel="0" collapsed="false">
      <c r="A20" s="17" t="s">
        <v>66</v>
      </c>
    </row>
    <row r="22" customFormat="false" ht="15" hidden="false" customHeight="false" outlineLevel="0" collapsed="false">
      <c r="A22" s="7" t="s">
        <v>67</v>
      </c>
      <c r="B22" s="7" t="s">
        <v>68</v>
      </c>
      <c r="C22" s="9" t="n">
        <f aca="false">5*100/$B$3</f>
        <v>2.27272727272727</v>
      </c>
      <c r="D22" s="13" t="n">
        <v>2.27</v>
      </c>
      <c r="E22" s="7" t="s">
        <v>69</v>
      </c>
      <c r="F22" s="7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4" min="3" style="0" width="18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62"/>
  </cols>
  <sheetData>
    <row r="1" customFormat="false" ht="17.35" hidden="false" customHeight="false" outlineLevel="0" collapsed="false">
      <c r="A1" s="1" t="s">
        <v>71</v>
      </c>
    </row>
    <row r="2" customFormat="false" ht="15" hidden="false" customHeight="false" outlineLevel="0" collapsed="false">
      <c r="A2" s="2" t="s">
        <v>72</v>
      </c>
    </row>
    <row r="3" customFormat="false" ht="15" hidden="false" customHeight="false" outlineLevel="0" collapsed="false">
      <c r="A3" s="3" t="s">
        <v>2</v>
      </c>
      <c r="B3" s="15" t="n">
        <v>220</v>
      </c>
    </row>
    <row r="5" customFormat="false" ht="31.5" hidden="false" customHeight="true" outlineLevel="0" collapsed="false">
      <c r="A5" s="6" t="s">
        <v>41</v>
      </c>
      <c r="B5" s="6" t="s">
        <v>30</v>
      </c>
      <c r="C5" s="6" t="s">
        <v>31</v>
      </c>
      <c r="D5" s="6" t="s">
        <v>32</v>
      </c>
      <c r="E5" s="6" t="s">
        <v>73</v>
      </c>
      <c r="F5" s="6" t="s">
        <v>74</v>
      </c>
      <c r="G5" s="6" t="s">
        <v>75</v>
      </c>
      <c r="H5" s="6" t="s">
        <v>10</v>
      </c>
    </row>
    <row r="6" customFormat="false" ht="15" hidden="false" customHeight="false" outlineLevel="0" collapsed="false">
      <c r="A6" s="7" t="s">
        <v>43</v>
      </c>
      <c r="B6" s="8" t="n">
        <v>2200</v>
      </c>
      <c r="C6" s="9" t="n">
        <f aca="false">B6/$B$3</f>
        <v>10</v>
      </c>
      <c r="D6" s="13" t="n">
        <v>10</v>
      </c>
      <c r="E6" s="8" t="n">
        <v>1.5</v>
      </c>
      <c r="F6" s="8" t="n">
        <v>13</v>
      </c>
      <c r="G6" s="9" t="n">
        <f aca="false">F6-C6</f>
        <v>3</v>
      </c>
      <c r="H6" s="7" t="s">
        <v>76</v>
      </c>
    </row>
    <row r="7" customFormat="false" ht="15" hidden="false" customHeight="false" outlineLevel="0" collapsed="false">
      <c r="A7" s="7" t="s">
        <v>46</v>
      </c>
      <c r="B7" s="8" t="n">
        <v>3600</v>
      </c>
      <c r="C7" s="9" t="n">
        <f aca="false">B7/$B$3</f>
        <v>16.3636363636364</v>
      </c>
      <c r="D7" s="13" t="n">
        <v>16.36</v>
      </c>
      <c r="E7" s="8" t="n">
        <v>4</v>
      </c>
      <c r="F7" s="8" t="n">
        <v>18</v>
      </c>
      <c r="G7" s="9" t="n">
        <f aca="false">F7-C7</f>
        <v>1.63636363636364</v>
      </c>
      <c r="H7" s="7" t="s">
        <v>77</v>
      </c>
    </row>
    <row r="8" customFormat="false" ht="15" hidden="false" customHeight="false" outlineLevel="0" collapsed="false">
      <c r="A8" s="7" t="s">
        <v>78</v>
      </c>
      <c r="B8" s="8" t="n">
        <v>160</v>
      </c>
      <c r="C8" s="9" t="n">
        <f aca="false">B8/$B$3</f>
        <v>0.727272727272727</v>
      </c>
      <c r="D8" s="13" t="n">
        <v>0.72</v>
      </c>
      <c r="E8" s="8" t="n">
        <v>1</v>
      </c>
      <c r="F8" s="8" t="n">
        <v>9.6</v>
      </c>
      <c r="G8" s="9" t="n">
        <f aca="false">F8-C8</f>
        <v>8.87272727272727</v>
      </c>
      <c r="H8" s="7" t="s">
        <v>79</v>
      </c>
    </row>
    <row r="9" customFormat="false" ht="23.85" hidden="false" customHeight="false" outlineLevel="0" collapsed="false">
      <c r="A9" s="7" t="s">
        <v>80</v>
      </c>
      <c r="B9" s="8"/>
      <c r="C9" s="9" t="n">
        <f aca="false">D9</f>
        <v>18.6</v>
      </c>
      <c r="D9" s="13" t="n">
        <v>18.6</v>
      </c>
      <c r="E9" s="8" t="n">
        <v>4</v>
      </c>
      <c r="F9" s="16" t="n">
        <v>25</v>
      </c>
      <c r="G9" s="9" t="n">
        <f aca="false">F9-C9</f>
        <v>6.4</v>
      </c>
      <c r="H9" s="10" t="s">
        <v>81</v>
      </c>
    </row>
    <row r="11" customFormat="false" ht="15" hidden="false" customHeight="false" outlineLevel="0" collapsed="false">
      <c r="A11" s="3" t="s">
        <v>82</v>
      </c>
    </row>
    <row r="12" customFormat="false" ht="15" hidden="false" customHeight="false" outlineLevel="0" collapsed="false">
      <c r="A12" s="18" t="s">
        <v>83</v>
      </c>
      <c r="B12" s="18" t="n">
        <v>40</v>
      </c>
      <c r="C12" s="19" t="n">
        <f aca="false">B12/$B$3</f>
        <v>0.181818181818182</v>
      </c>
      <c r="D12" s="19" t="n">
        <v>0.18</v>
      </c>
      <c r="E12" s="18" t="n">
        <v>1</v>
      </c>
      <c r="F12" s="18" t="n">
        <v>9.6</v>
      </c>
      <c r="G12" s="19" t="n">
        <f aca="false">F12-C12</f>
        <v>9.41818181818182</v>
      </c>
      <c r="H12" s="18" t="s">
        <v>84</v>
      </c>
    </row>
    <row r="14" customFormat="false" ht="15" hidden="false" customHeight="false" outlineLevel="0" collapsed="false">
      <c r="A14" s="5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0"/>
    <col collapsed="false" customWidth="true" hidden="false" outlineLevel="0" max="4" min="4" style="0" width="56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1" t="s">
        <v>86</v>
      </c>
    </row>
    <row r="2" customFormat="false" ht="15" hidden="false" customHeight="false" outlineLevel="0" collapsed="false">
      <c r="A2" s="2" t="s">
        <v>87</v>
      </c>
    </row>
    <row r="4" customFormat="false" ht="31.5" hidden="false" customHeight="true" outlineLevel="0" collapsed="false">
      <c r="A4" s="6" t="s">
        <v>41</v>
      </c>
      <c r="B4" s="6" t="s">
        <v>88</v>
      </c>
      <c r="C4" s="6" t="s">
        <v>89</v>
      </c>
      <c r="D4" s="6" t="s">
        <v>90</v>
      </c>
      <c r="E4" s="6" t="s">
        <v>10</v>
      </c>
    </row>
    <row r="5" customFormat="false" ht="15" hidden="false" customHeight="false" outlineLevel="0" collapsed="false">
      <c r="A5" s="7" t="s">
        <v>91</v>
      </c>
      <c r="B5" s="8" t="n">
        <v>4</v>
      </c>
      <c r="C5" s="8" t="s">
        <v>92</v>
      </c>
      <c r="D5" s="7" t="s">
        <v>93</v>
      </c>
      <c r="E5" s="7"/>
    </row>
    <row r="6" customFormat="false" ht="15" hidden="false" customHeight="false" outlineLevel="0" collapsed="false">
      <c r="A6" s="7" t="s">
        <v>69</v>
      </c>
      <c r="B6" s="8" t="n">
        <v>4</v>
      </c>
      <c r="C6" s="8" t="s">
        <v>92</v>
      </c>
      <c r="D6" s="7" t="s">
        <v>94</v>
      </c>
      <c r="E6" s="7"/>
    </row>
    <row r="7" customFormat="false" ht="15" hidden="false" customHeight="false" outlineLevel="0" collapsed="false">
      <c r="A7" s="7" t="s">
        <v>95</v>
      </c>
      <c r="B7" s="8" t="n">
        <v>4</v>
      </c>
      <c r="C7" s="8" t="s">
        <v>92</v>
      </c>
      <c r="D7" s="7" t="s">
        <v>96</v>
      </c>
      <c r="E7" s="7"/>
    </row>
    <row r="8" customFormat="false" ht="15" hidden="false" customHeight="false" outlineLevel="0" collapsed="false">
      <c r="A8" s="7" t="s">
        <v>97</v>
      </c>
      <c r="B8" s="8" t="n">
        <v>4</v>
      </c>
      <c r="C8" s="8" t="s">
        <v>92</v>
      </c>
      <c r="D8" s="7" t="s">
        <v>98</v>
      </c>
      <c r="E8" s="7"/>
    </row>
    <row r="9" customFormat="false" ht="15" hidden="false" customHeight="false" outlineLevel="0" collapsed="false">
      <c r="A9" s="7" t="s">
        <v>99</v>
      </c>
      <c r="B9" s="16" t="n">
        <v>16</v>
      </c>
      <c r="C9" s="8" t="s">
        <v>92</v>
      </c>
      <c r="D9" s="7" t="s">
        <v>100</v>
      </c>
      <c r="E9" s="10" t="s">
        <v>101</v>
      </c>
    </row>
    <row r="10" customFormat="false" ht="15" hidden="false" customHeight="false" outlineLevel="0" collapsed="false">
      <c r="A10" s="7" t="s">
        <v>102</v>
      </c>
      <c r="B10" s="16" t="s">
        <v>103</v>
      </c>
      <c r="C10" s="8" t="s">
        <v>92</v>
      </c>
      <c r="D10" s="7" t="s">
        <v>104</v>
      </c>
      <c r="E10" s="10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8"/>
    <col collapsed="false" customWidth="true" hidden="false" outlineLevel="0" max="3" min="3" style="0" width="120"/>
  </cols>
  <sheetData>
    <row r="1" customFormat="false" ht="17.35" hidden="false" customHeight="false" outlineLevel="0" collapsed="false">
      <c r="A1" s="1" t="s">
        <v>106</v>
      </c>
    </row>
    <row r="2" customFormat="false" ht="15" hidden="false" customHeight="false" outlineLevel="0" collapsed="false">
      <c r="A2" s="2" t="s">
        <v>107</v>
      </c>
    </row>
    <row r="4" customFormat="false" ht="31.5" hidden="false" customHeight="true" outlineLevel="0" collapsed="false">
      <c r="A4" s="6" t="s">
        <v>108</v>
      </c>
      <c r="B4" s="6" t="s">
        <v>109</v>
      </c>
      <c r="C4" s="6" t="s">
        <v>110</v>
      </c>
    </row>
    <row r="5" customFormat="false" ht="15" hidden="false" customHeight="false" outlineLevel="0" collapsed="false">
      <c r="A5" s="20" t="s">
        <v>111</v>
      </c>
      <c r="B5" s="7" t="n">
        <v>1</v>
      </c>
      <c r="C5" s="7" t="s">
        <v>112</v>
      </c>
    </row>
    <row r="6" customFormat="false" ht="15" hidden="false" customHeight="false" outlineLevel="0" collapsed="false">
      <c r="A6" s="7"/>
      <c r="B6" s="7" t="n">
        <v>2</v>
      </c>
      <c r="C6" s="7" t="s">
        <v>113</v>
      </c>
    </row>
    <row r="7" customFormat="false" ht="15" hidden="false" customHeight="false" outlineLevel="0" collapsed="false">
      <c r="A7" s="7"/>
      <c r="B7" s="7" t="n">
        <v>3</v>
      </c>
      <c r="C7" s="7" t="s">
        <v>114</v>
      </c>
    </row>
    <row r="8" customFormat="false" ht="15" hidden="false" customHeight="false" outlineLevel="0" collapsed="false">
      <c r="A8" s="7"/>
      <c r="B8" s="7" t="n">
        <v>4</v>
      </c>
      <c r="C8" s="7" t="s">
        <v>115</v>
      </c>
    </row>
    <row r="9" customFormat="false" ht="15" hidden="false" customHeight="false" outlineLevel="0" collapsed="false">
      <c r="A9" s="7"/>
      <c r="B9" s="7" t="n">
        <v>5</v>
      </c>
      <c r="C9" s="7" t="s">
        <v>116</v>
      </c>
    </row>
    <row r="10" customFormat="false" ht="15" hidden="false" customHeight="false" outlineLevel="0" collapsed="false">
      <c r="A10" s="7"/>
      <c r="B10" s="7" t="n">
        <v>6</v>
      </c>
      <c r="C10" s="7" t="s">
        <v>117</v>
      </c>
    </row>
    <row r="11" customFormat="false" ht="15" hidden="false" customHeight="false" outlineLevel="0" collapsed="false">
      <c r="A11" s="20" t="s">
        <v>118</v>
      </c>
      <c r="B11" s="7" t="n">
        <v>1</v>
      </c>
      <c r="C11" s="7" t="s">
        <v>119</v>
      </c>
    </row>
    <row r="12" customFormat="false" ht="15" hidden="false" customHeight="false" outlineLevel="0" collapsed="false">
      <c r="A12" s="7"/>
      <c r="B12" s="7" t="n">
        <v>2</v>
      </c>
      <c r="C12" s="7" t="s">
        <v>120</v>
      </c>
    </row>
    <row r="13" customFormat="false" ht="15" hidden="false" customHeight="false" outlineLevel="0" collapsed="false">
      <c r="A13" s="7"/>
      <c r="B13" s="7" t="n">
        <v>3</v>
      </c>
      <c r="C13" s="7" t="s">
        <v>121</v>
      </c>
    </row>
    <row r="14" customFormat="false" ht="15" hidden="false" customHeight="false" outlineLevel="0" collapsed="false">
      <c r="A14" s="7"/>
      <c r="B14" s="7" t="n">
        <v>4</v>
      </c>
      <c r="C14" s="7" t="s">
        <v>122</v>
      </c>
    </row>
    <row r="15" customFormat="false" ht="15" hidden="false" customHeight="false" outlineLevel="0" collapsed="false">
      <c r="A15" s="7"/>
      <c r="B15" s="7" t="n">
        <v>5</v>
      </c>
      <c r="C15" s="7" t="s">
        <v>116</v>
      </c>
    </row>
    <row r="16" customFormat="false" ht="15" hidden="false" customHeight="false" outlineLevel="0" collapsed="false">
      <c r="A16" s="7"/>
      <c r="B16" s="7" t="n">
        <v>6</v>
      </c>
      <c r="C16" s="7" t="s">
        <v>123</v>
      </c>
    </row>
    <row r="17" customFormat="false" ht="15" hidden="false" customHeight="false" outlineLevel="0" collapsed="false">
      <c r="A17" s="7"/>
      <c r="B17" s="7" t="n">
        <v>7</v>
      </c>
      <c r="C17" s="7" t="s">
        <v>124</v>
      </c>
    </row>
    <row r="18" customFormat="false" ht="15" hidden="false" customHeight="false" outlineLevel="0" collapsed="false">
      <c r="A18" s="7"/>
      <c r="B18" s="7" t="n">
        <v>8</v>
      </c>
      <c r="C18" s="7" t="s">
        <v>125</v>
      </c>
    </row>
    <row r="19" customFormat="false" ht="15" hidden="false" customHeight="false" outlineLevel="0" collapsed="false">
      <c r="A19" s="7"/>
      <c r="B19" s="7" t="n">
        <v>9</v>
      </c>
      <c r="C19" s="7" t="s">
        <v>126</v>
      </c>
    </row>
    <row r="20" customFormat="false" ht="15" hidden="false" customHeight="false" outlineLevel="0" collapsed="false">
      <c r="A20" s="7"/>
      <c r="B20" s="7" t="n">
        <v>10</v>
      </c>
      <c r="C20" s="7" t="s">
        <v>127</v>
      </c>
    </row>
    <row r="21" customFormat="false" ht="15" hidden="false" customHeight="false" outlineLevel="0" collapsed="false">
      <c r="A21" s="7"/>
      <c r="B21" s="7" t="n">
        <v>11</v>
      </c>
      <c r="C21" s="7" t="s">
        <v>128</v>
      </c>
    </row>
    <row r="22" customFormat="false" ht="15" hidden="false" customHeight="false" outlineLevel="0" collapsed="false">
      <c r="A22" s="20" t="s">
        <v>129</v>
      </c>
      <c r="B22" s="7" t="n">
        <v>1</v>
      </c>
      <c r="C22" s="7" t="s">
        <v>130</v>
      </c>
    </row>
    <row r="23" customFormat="false" ht="15" hidden="false" customHeight="false" outlineLevel="0" collapsed="false">
      <c r="A23" s="7"/>
      <c r="B23" s="7" t="n">
        <v>2</v>
      </c>
      <c r="C23" s="7" t="s">
        <v>131</v>
      </c>
    </row>
    <row r="24" customFormat="false" ht="15" hidden="false" customHeight="false" outlineLevel="0" collapsed="false">
      <c r="A24" s="7"/>
      <c r="B24" s="7" t="n">
        <v>3</v>
      </c>
      <c r="C24" s="7" t="s">
        <v>132</v>
      </c>
    </row>
    <row r="25" customFormat="false" ht="15" hidden="false" customHeight="false" outlineLevel="0" collapsed="false">
      <c r="A25" s="7"/>
      <c r="B25" s="7" t="n">
        <v>4</v>
      </c>
      <c r="C25" s="7" t="s">
        <v>133</v>
      </c>
    </row>
    <row r="26" customFormat="false" ht="15" hidden="false" customHeight="false" outlineLevel="0" collapsed="false">
      <c r="A26" s="7"/>
      <c r="B26" s="7" t="n">
        <v>5</v>
      </c>
      <c r="C26" s="7" t="s">
        <v>134</v>
      </c>
    </row>
    <row r="27" customFormat="false" ht="15" hidden="false" customHeight="false" outlineLevel="0" collapsed="false">
      <c r="A27" s="7"/>
      <c r="B27" s="7" t="n">
        <v>6</v>
      </c>
      <c r="C27" s="7" t="s">
        <v>135</v>
      </c>
    </row>
    <row r="28" customFormat="false" ht="15" hidden="false" customHeight="false" outlineLevel="0" collapsed="false">
      <c r="A28" s="7"/>
      <c r="B28" s="7" t="n">
        <v>7</v>
      </c>
      <c r="C28" s="7" t="s">
        <v>136</v>
      </c>
    </row>
    <row r="29" customFormat="false" ht="15" hidden="false" customHeight="false" outlineLevel="0" collapsed="false">
      <c r="A29" s="7"/>
      <c r="B29" s="7" t="n">
        <v>8</v>
      </c>
      <c r="C29" s="7" t="s">
        <v>137</v>
      </c>
    </row>
    <row r="30" customFormat="false" ht="15" hidden="false" customHeight="false" outlineLevel="0" collapsed="false">
      <c r="A30" s="7"/>
      <c r="B30" s="7" t="n">
        <v>9</v>
      </c>
      <c r="C30" s="7" t="s">
        <v>138</v>
      </c>
    </row>
    <row r="31" customFormat="false" ht="15" hidden="false" customHeight="false" outlineLevel="0" collapsed="false">
      <c r="A31" s="7"/>
      <c r="B31" s="7" t="n">
        <v>10</v>
      </c>
      <c r="C31" s="7" t="s">
        <v>139</v>
      </c>
    </row>
    <row r="32" customFormat="false" ht="15" hidden="false" customHeight="false" outlineLevel="0" collapsed="false">
      <c r="A32" s="7"/>
      <c r="B32" s="7" t="n">
        <v>11</v>
      </c>
      <c r="C32" s="7" t="s">
        <v>140</v>
      </c>
    </row>
    <row r="33" customFormat="false" ht="15" hidden="false" customHeight="false" outlineLevel="0" collapsed="false">
      <c r="A33" s="7"/>
      <c r="B33" s="7" t="n">
        <v>12</v>
      </c>
      <c r="C33" s="7" t="s">
        <v>141</v>
      </c>
    </row>
    <row r="34" customFormat="false" ht="15" hidden="false" customHeight="false" outlineLevel="0" collapsed="false">
      <c r="A34" s="20" t="s">
        <v>142</v>
      </c>
      <c r="B34" s="7" t="n">
        <v>1</v>
      </c>
      <c r="C34" s="7" t="s">
        <v>143</v>
      </c>
    </row>
    <row r="35" customFormat="false" ht="15" hidden="false" customHeight="false" outlineLevel="0" collapsed="false">
      <c r="A35" s="7"/>
      <c r="B35" s="7" t="n">
        <v>2</v>
      </c>
      <c r="C35" s="7" t="s">
        <v>144</v>
      </c>
    </row>
    <row r="36" customFormat="false" ht="15" hidden="false" customHeight="false" outlineLevel="0" collapsed="false">
      <c r="A36" s="7"/>
      <c r="B36" s="7" t="n">
        <v>3</v>
      </c>
      <c r="C36" s="7" t="s">
        <v>145</v>
      </c>
    </row>
    <row r="37" customFormat="false" ht="15" hidden="false" customHeight="false" outlineLevel="0" collapsed="false">
      <c r="A37" s="7"/>
      <c r="B37" s="7" t="n">
        <v>4</v>
      </c>
      <c r="C37" s="7" t="s">
        <v>146</v>
      </c>
    </row>
    <row r="38" customFormat="false" ht="15" hidden="false" customHeight="false" outlineLevel="0" collapsed="false">
      <c r="A38" s="7"/>
      <c r="B38" s="7" t="n">
        <v>5</v>
      </c>
      <c r="C38" s="7" t="s">
        <v>147</v>
      </c>
    </row>
    <row r="39" customFormat="false" ht="15" hidden="false" customHeight="false" outlineLevel="0" collapsed="false">
      <c r="A39" s="7"/>
      <c r="B39" s="7" t="n">
        <v>6</v>
      </c>
      <c r="C39" s="7" t="s">
        <v>148</v>
      </c>
    </row>
    <row r="40" customFormat="false" ht="15" hidden="false" customHeight="false" outlineLevel="0" collapsed="false">
      <c r="A40" s="7"/>
      <c r="B40" s="7" t="n">
        <v>7</v>
      </c>
      <c r="C40" s="7" t="s">
        <v>149</v>
      </c>
    </row>
    <row r="41" customFormat="false" ht="15" hidden="false" customHeight="false" outlineLevel="0" collapsed="false">
      <c r="A41" s="7"/>
      <c r="B41" s="7" t="n">
        <v>8</v>
      </c>
      <c r="C41" s="7" t="s">
        <v>150</v>
      </c>
    </row>
    <row r="42" customFormat="false" ht="15" hidden="false" customHeight="false" outlineLevel="0" collapsed="false">
      <c r="A42" s="7"/>
      <c r="B42" s="7" t="n">
        <v>9</v>
      </c>
      <c r="C42" s="7" t="s">
        <v>151</v>
      </c>
    </row>
    <row r="43" customFormat="false" ht="15" hidden="false" customHeight="false" outlineLevel="0" collapsed="false">
      <c r="A43" s="7"/>
      <c r="B43" s="7" t="n">
        <v>10</v>
      </c>
      <c r="C43" s="7" t="s">
        <v>152</v>
      </c>
    </row>
    <row r="44" customFormat="false" ht="15" hidden="false" customHeight="false" outlineLevel="0" collapsed="false">
      <c r="A44" s="7"/>
      <c r="B44" s="7" t="n">
        <v>11</v>
      </c>
      <c r="C44" s="7" t="s">
        <v>153</v>
      </c>
    </row>
    <row r="45" customFormat="false" ht="15" hidden="false" customHeight="false" outlineLevel="0" collapsed="false">
      <c r="A45" s="7"/>
      <c r="B45" s="7" t="n">
        <v>12</v>
      </c>
      <c r="C45" s="7" t="s">
        <v>154</v>
      </c>
    </row>
    <row r="46" customFormat="false" ht="15" hidden="false" customHeight="false" outlineLevel="0" collapsed="false">
      <c r="A46" s="7"/>
      <c r="B46" s="7" t="n">
        <v>13</v>
      </c>
      <c r="C46" s="7" t="s"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0"/>
  </cols>
  <sheetData>
    <row r="1" customFormat="false" ht="17.35" hidden="false" customHeight="false" outlineLevel="0" collapsed="false">
      <c r="A1" s="1" t="s">
        <v>156</v>
      </c>
    </row>
    <row r="3" customFormat="false" ht="31.5" hidden="false" customHeight="true" outlineLevel="0" collapsed="false">
      <c r="A3" s="6" t="s">
        <v>157</v>
      </c>
      <c r="B3" s="6" t="s">
        <v>158</v>
      </c>
    </row>
    <row r="4" customFormat="false" ht="15" hidden="false" customHeight="false" outlineLevel="0" collapsed="false">
      <c r="A4" s="7" t="n">
        <v>1</v>
      </c>
      <c r="B4" s="7" t="s">
        <v>159</v>
      </c>
    </row>
    <row r="5" customFormat="false" ht="15" hidden="false" customHeight="false" outlineLevel="0" collapsed="false">
      <c r="A5" s="7" t="n">
        <v>2</v>
      </c>
      <c r="B5" s="7" t="s">
        <v>160</v>
      </c>
    </row>
    <row r="6" customFormat="false" ht="23.85" hidden="false" customHeight="false" outlineLevel="0" collapsed="false">
      <c r="A6" s="7" t="n">
        <v>3</v>
      </c>
      <c r="B6" s="7" t="s">
        <v>161</v>
      </c>
    </row>
    <row r="7" customFormat="false" ht="15" hidden="false" customHeight="false" outlineLevel="0" collapsed="false">
      <c r="A7" s="7" t="n">
        <v>4</v>
      </c>
      <c r="B7" s="7" t="s">
        <v>162</v>
      </c>
    </row>
    <row r="8" customFormat="false" ht="15" hidden="false" customHeight="false" outlineLevel="0" collapsed="false">
      <c r="A8" s="7" t="n">
        <v>5</v>
      </c>
      <c r="B8" s="7" t="s">
        <v>163</v>
      </c>
    </row>
    <row r="9" customFormat="false" ht="15" hidden="false" customHeight="false" outlineLevel="0" collapsed="false">
      <c r="A9" s="7" t="n">
        <v>6</v>
      </c>
      <c r="B9" s="7" t="s">
        <v>164</v>
      </c>
    </row>
    <row r="10" customFormat="false" ht="15" hidden="false" customHeight="false" outlineLevel="0" collapsed="false">
      <c r="A10" s="7" t="n">
        <v>7</v>
      </c>
      <c r="B10" s="7" t="s">
        <v>165</v>
      </c>
    </row>
    <row r="11" customFormat="false" ht="15" hidden="false" customHeight="false" outlineLevel="0" collapsed="false">
      <c r="A11" s="7" t="n">
        <v>8</v>
      </c>
      <c r="B11" s="7" t="s">
        <v>166</v>
      </c>
    </row>
    <row r="12" customFormat="false" ht="15" hidden="false" customHeight="false" outlineLevel="0" collapsed="false">
      <c r="A12" s="7" t="n">
        <v>9</v>
      </c>
      <c r="B12" s="7" t="s">
        <v>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2026-10-15T23:38:25Z</dcterms:created>
  <dc:creator>openpyxl</dc:creator>
  <dc:description/>
  <dc:language>en-US</dc:language>
  <cp:lastModifiedBy/>
  <dcterms:modified xsi:type="dcterms:W3CDTF">2026-10-15T23:38:25Z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