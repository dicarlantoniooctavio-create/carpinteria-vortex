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UG" state="visible" r:id="rId4"/>
    <sheet sheetId="2" name="TUG" state="visible" r:id="rId5"/>
    <sheet sheetId="3" name="TUE" state="visible" r:id="rId6"/>
    <sheet sheetId="4" name="Cañerías" state="visible" r:id="rId7"/>
    <sheet sheetId="5" name="Cómputo" state="visible" r:id="rId8"/>
  </sheets>
  <calcPr calcId="171027"/>
</workbook>
</file>

<file path=xl/sharedStrings.xml><?xml version="1.0" encoding="utf-8"?>
<sst xmlns="http://schemas.openxmlformats.org/spreadsheetml/2006/main" count="297" uniqueCount="141">
  <si>
    <t>Iluminación de uso general (IUG) — 220 V</t>
  </si>
  <si>
    <t>Circuito</t>
  </si>
  <si>
    <t>Ambiente</t>
  </si>
  <si>
    <t>Tipo de lámpara</t>
  </si>
  <si>
    <t>Cantidad</t>
  </si>
  <si>
    <t>Potencia (W)</t>
  </si>
  <si>
    <t>Lúmenes</t>
  </si>
  <si>
    <t>Consumo (A)</t>
  </si>
  <si>
    <t>IUG1</t>
  </si>
  <si>
    <t>Negocio, oficina, cocina y baño</t>
  </si>
  <si>
    <t>Paneles LED y LED 12 W</t>
  </si>
  <si>
    <t>IUG2</t>
  </si>
  <si>
    <t>Taller</t>
  </si>
  <si>
    <t>Campanas LED IP65</t>
  </si>
  <si>
    <t>IUG3</t>
  </si>
  <si>
    <t>Total del circuito</t>
  </si>
  <si>
    <t/>
  </si>
  <si>
    <t>Amperajes de la planilla CADAcircuito (10 bocas por circuito). Potencia = consumo × 220 V. IUG1 en el Seccional Oficina (fase S); IUG2 (fase S) e IUG3 (fase T) en el Seccional Máquinas. En el plano de AutoCAD hay 28 bocas (9 + 9 + 10).</t>
  </si>
  <si>
    <t>Tomacorrientes de uso general (TUG) — 220 V</t>
  </si>
  <si>
    <t>Carga</t>
  </si>
  <si>
    <t>Tipo de carga</t>
  </si>
  <si>
    <t>TUG1 y TUG3</t>
  </si>
  <si>
    <t>Sierra circular de banco</t>
  </si>
  <si>
    <t>Herramienta 220 V</t>
  </si>
  <si>
    <t>Fresadora de mano</t>
  </si>
  <si>
    <t>Cepilladora</t>
  </si>
  <si>
    <t>Sierra ingletadora</t>
  </si>
  <si>
    <t>Garlopa de banco</t>
  </si>
  <si>
    <t>TUG1 + TUG3</t>
  </si>
  <si>
    <t>Uso simultáneo</t>
  </si>
  <si>
    <t>Las 3 más potentes a la vez: sierra circular + fresadora + cepilladora (6400 W), repartidas en TUG1 y TUG3</t>
  </si>
  <si>
    <t>TUG1</t>
  </si>
  <si>
    <t>Frente del taller (4 tomas)</t>
  </si>
  <si>
    <t>La mitad</t>
  </si>
  <si>
    <t>TUG3</t>
  </si>
  <si>
    <t>Fondo del taller (6 tomas)</t>
  </si>
  <si>
    <t>La otra mitad</t>
  </si>
  <si>
    <t>TUG2</t>
  </si>
  <si>
    <t>Oficina (10 tomas)</t>
  </si>
  <si>
    <t>Amperaje de reglamento: 2200 VA</t>
  </si>
  <si>
    <t>Un TUG no puede pasar de 20 A: los 29,09 A de los tomas del taller se reparten en TUG1 (Seccional Oficina) y TUG3 (Seccional Máquinas).</t>
  </si>
  <si>
    <t>Tomacorriente de uso especial (TUE) — 220 V</t>
  </si>
  <si>
    <t>TUE1</t>
  </si>
  <si>
    <t>Compresor 2 (monofásico)</t>
  </si>
  <si>
    <t>Equipo 220 V</t>
  </si>
  <si>
    <t>Aire acondicionado</t>
  </si>
  <si>
    <t>Compresor chico (compresor 2) + aire acondicionado</t>
  </si>
  <si>
    <t>Cañerías — caño de acero semipesado (ocupación máxima 35 %)</t>
  </si>
  <si>
    <t>Tramo</t>
  </si>
  <si>
    <t>Conductores</t>
  </si>
  <si>
    <t>Sección (mm²)</t>
  </si>
  <si>
    <t>Ø cable (mm)</t>
  </si>
  <si>
    <t>Caño</t>
  </si>
  <si>
    <t>Ø interior caño (mm)</t>
  </si>
  <si>
    <t>Ocupación (%)</t>
  </si>
  <si>
    <t>Seccional Oficina → negocio y oficinas</t>
  </si>
  <si>
    <t>3 (F + N + PE)</t>
  </si>
  <si>
    <t>CL16 (5/8")</t>
  </si>
  <si>
    <t>Seccional Oficina → tomas del frente del taller</t>
  </si>
  <si>
    <t>Medidor → Seccional Oficina</t>
  </si>
  <si>
    <t>Alimentación</t>
  </si>
  <si>
    <t>5 (R + S + T + N + PE)</t>
  </si>
  <si>
    <t>CL51 (2")</t>
  </si>
  <si>
    <t>Ocupación = suma de las secciones de los cables / sección interior del caño. Diámetros aproximados de catálogo: verificar con el fabricante.</t>
  </si>
  <si>
    <t>Cómputo de materiales y presupuesto (precios de referencia, USD)</t>
  </si>
  <si>
    <t>Rubro</t>
  </si>
  <si>
    <t>Material</t>
  </si>
  <si>
    <t>Unidad</t>
  </si>
  <si>
    <t>Precio unit. (USD)</t>
  </si>
  <si>
    <t>Subtotal (USD)</t>
  </si>
  <si>
    <t>Cable unipolar IRAM NM 247-3 1,5 mm² (IUG1 y bajadas a las luces)</t>
  </si>
  <si>
    <t>m</t>
  </si>
  <si>
    <t>Cable subterráneo IRAM 2178 3 × 1,5 mm² (IUG2 e IUG3, por bandeja)</t>
  </si>
  <si>
    <t>Cable unipolar IRAM NM 247-3 2,5 mm² (tierra de circuitos)</t>
  </si>
  <si>
    <t>Cable unipolar IRAM NM 247-3 35 mm² (alimentación R, S, T y N)</t>
  </si>
  <si>
    <t>Cable unipolar 16 mm² verde y amarillo (tierra de la alimentación)</t>
  </si>
  <si>
    <t>Cable tetrapolar IRAM 2178 4 × 35 mm² (Seccional Oficina → Seccional Máquinas, por la bandeja)</t>
  </si>
  <si>
    <t>Cable subterráneo IRAM 2178 3 × 2,5 mm² (TUE1 y TUG3, por bandeja)</t>
  </si>
  <si>
    <t>Cable tetrapolar IRAM 2178 4 × 2,5 mm² (M1 a M6)</t>
  </si>
  <si>
    <t>Cable unipolar 16 mm² verde y amarillo (tierra del Seccional Máquinas)</t>
  </si>
  <si>
    <t>Cable verde y amarillo 16 mm² (jabalina → barra de tierra)</t>
  </si>
  <si>
    <t>Cable unipolar IRAM NM 247-3 2,5 mm² (TUG1 y TUG2, en caño)</t>
  </si>
  <si>
    <t>Canalizaciones</t>
  </si>
  <si>
    <t>Caño semipesado CL51 (2") × 3 m (alimentación)</t>
  </si>
  <si>
    <t>u</t>
  </si>
  <si>
    <t>Caño semipesado CL16 y CL19 × 3 m</t>
  </si>
  <si>
    <t>Bandeja perforada 150×50 mm × 3 m (galv.): principal de 19,6 m + T de 8,1 m</t>
  </si>
  <si>
    <t>Curvas, uniones y soportes de bandeja</t>
  </si>
  <si>
    <t>gl</t>
  </si>
  <si>
    <t>Cajas octogonales / rectangulares / de paso + accesorios</t>
  </si>
  <si>
    <t>Tableros</t>
  </si>
  <si>
    <t>Gabinete metálico IP65 36 módulos (Seccional Oficina)</t>
  </si>
  <si>
    <t>Gabinete metálico IP65 600 × 400 (Seccional Máquinas)</t>
  </si>
  <si>
    <t>Rieles DIN, borneras, peines, barra PE y señalización</t>
  </si>
  <si>
    <t>Protecciones</t>
  </si>
  <si>
    <t>Interruptor general termomagnético 4P 80 A curva C</t>
  </si>
  <si>
    <t>Termomagnético 4P 80 A curva C (salida al Seccional Máquinas)</t>
  </si>
  <si>
    <t>Termomagnético 4P 50 A curva C (grupo de máquinas 380 V, Seccional Máquinas)</t>
  </si>
  <si>
    <t>Disyuntor diferencial 4P 63 A 30 mA (grupo de máquinas)</t>
  </si>
  <si>
    <t>Disyuntor diferencial 2P 25 A 30 mA (R y S en el Seccional Oficina; R, S y T en el Seccional Máquinas)</t>
  </si>
  <si>
    <t>Termomagnético 2P 4 A curva C (IUG1 a IUG3)</t>
  </si>
  <si>
    <t>Termomagnético 2P 16 A curva C (TUG1, TUG2, TUG3 y TUE1)</t>
  </si>
  <si>
    <t>Termomagnético 4P 10 A curva C (salida al tablero de la lijadora)</t>
  </si>
  <si>
    <t>Termomagnético 4P 16 A curva C (salida a los tableros de combinada, escuadradora, tupí, sierra sin fin y compresor 1)</t>
  </si>
  <si>
    <t>Seccionador bajo carga 4P 100 A</t>
  </si>
  <si>
    <t>Termomagnético 2P 6 A curva C (circuito de mando)</t>
  </si>
  <si>
    <t>Descargador de sobretensión clase II 4P</t>
  </si>
  <si>
    <t>Maniobra</t>
  </si>
  <si>
    <t>Guardamotor 6–10 A, en el tablero de cada máquina (lijadora, combinada, escuadradora, tupí y sierra sin fin)</t>
  </si>
  <si>
    <t>Guardamotor 4–6,3 A, en el tablero del compresor 1</t>
  </si>
  <si>
    <t>Contactor 9 A AC-3 bobina 220 V (uno por máquina)</t>
  </si>
  <si>
    <t>Pulsadores marcha (NA verde) / paro (NC rojo)</t>
  </si>
  <si>
    <t>par</t>
  </si>
  <si>
    <t>Pulsador de emergencia tipo seta Ø40 enclavable</t>
  </si>
  <si>
    <t>Pilotos LED 220 V (tensión / marcha)</t>
  </si>
  <si>
    <t>Tomas</t>
  </si>
  <si>
    <t>Toma 2P+T 20 A (TUE1: compresor 2 y aire acondicionado)</t>
  </si>
  <si>
    <t>Toma industrial 3P+N+T 16 A IP67 (máquinas trifásicas)</t>
  </si>
  <si>
    <t>Toma doble estanca IP54 10 A con tapa (TUG1, TUG2 y TUG3)</t>
  </si>
  <si>
    <t>Bajada aérea retráctil 220 V reforzada</t>
  </si>
  <si>
    <t>Iluminación</t>
  </si>
  <si>
    <t>Campana LED industrial IP65 100 W 9000 lm 6500 K</t>
  </si>
  <si>
    <t>Panel LED 40 W 4000 K (negocio y oficina)</t>
  </si>
  <si>
    <t>Lámpara LED 12 W (cocina y baño)</t>
  </si>
  <si>
    <t>Llaves de efecto y bocas de iluminación</t>
  </si>
  <si>
    <t>Puesta a tierra</t>
  </si>
  <si>
    <t>Jabalina Cu-acero 5/8" × 2,40 m + tomacable + cámara de inspección</t>
  </si>
  <si>
    <t>Lijadora de banda</t>
  </si>
  <si>
    <t>Motor trifásico 1,5 kW 2850 rpm IP55 (B3)</t>
  </si>
  <si>
    <t>Banda abrasiva de tela (grano 80/120)</t>
  </si>
  <si>
    <t>Ruedas / tambores mecanizados (pzas. 8 y 9)</t>
  </si>
  <si>
    <t>Ejes acero SAE 1045 (pzas. 10 y 11)</t>
  </si>
  <si>
    <t>Rodamientos 6205-2RS + soportes UCP205</t>
  </si>
  <si>
    <t>Estructura: pedestales, travesaños, soporte motor y chapas (pzas. 1–7, 12, 13)</t>
  </si>
  <si>
    <t>Tornillería, pintura epoxi y resguardos</t>
  </si>
  <si>
    <t>Materiales</t>
  </si>
  <si>
    <t>Mano de obra (35 %)</t>
  </si>
  <si>
    <t>Ingeniería (10 %)</t>
  </si>
  <si>
    <t>Imprevistos (5 %)</t>
  </si>
  <si>
    <t>IVA 21 %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</si>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</sst>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0B4A7F"/>
      <sz val="14"/>
    </font>
    <font>
      <b/>
      <color rgb="FFFFFFFF"/>
    </font>
    <font>
      <b/>
    </font>
    <font>
      <i/>
      <color rgb="FF5B6B7B"/>
      <sz val="9"/>
    </font>
  </fonts>
  <fills count="5">
    <fill>
      <patternFill patternType="none"/>
    </fill>
    <fill>
      <patternFill patternType="gray125"/>
    </fill>
    <fill>
      <patternFill patternType="solid">
        <fgColor rgb="FF0B4A7F"/>
      </patternFill>
    </fill>
    <fill>
      <patternFill patternType="solid">
        <fgColor rgb="FFF3F6FA"/>
      </patternFill>
    </fill>
    <fill>
      <patternFill patternType="solid">
        <fgColor rgb="FFFFF1DC"/>
      </patternFill>
    </fill>
  </fills>
  <borders count="3">
    <border>
      <left/>
      <right/>
      <top/>
      <bottom/>
      <diagonal/>
    </border>
    <border>
      <left/>
      <right/>
      <top/>
      <bottom style="thin">
        <color rgb="FFDCE3EB"/>
      </bottom>
      <diagonal/>
    </border>
    <border>
      <left/>
      <right/>
      <top style="thin">
        <color rgb="FFE8A33D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0" fontId="0" fillId="3" borderId="1" xfId="0" applyFill="1" applyBorder="1"/>
    <xf numFmtId="3" fontId="0" fillId="3" borderId="1" xfId="0" applyNumberFormat="1" applyFill="1" applyBorder="1"/>
    <xf numFmtId="2" fontId="0" fillId="3" borderId="1" xfId="0" applyNumberFormat="1" applyFill="1" applyBorder="1"/>
    <xf numFmtId="0" fontId="3" fillId="4" borderId="2" xfId="0" applyFont="1" applyFill="1" applyBorder="1"/>
    <xf numFmtId="3" fontId="3" fillId="4" borderId="2" xfId="0" applyNumberFormat="1" applyFont="1" applyFill="1" applyBorder="1"/>
    <xf numFmtId="2" fontId="3" fillId="4" borderId="2" xfId="0" applyNumberFormat="1" applyFont="1" applyFill="1" applyBorder="1"/>
    <xf numFmtId="0" fontId="4" fillId="0" borderId="0" xfId="0" applyFont="1"/>
    <xf numFmtId="164" fontId="0" fillId="0" borderId="1" xfId="0" applyNumberFormat="1" applyBorder="1"/>
    <xf numFmtId="164" fontId="0" fillId="3" borderId="1" xfId="0" applyNumberFormat="1" applyFill="1" applyBorder="1"/>
    <xf numFmtId="4" fontId="0" fillId="0" borderId="1" xfId="0" applyNumberFormat="1" applyBorder="1"/>
    <xf numFmtId="4" fontId="0" fillId="3" borderId="1" xfId="0" applyNumberFormat="1" applyFill="1" applyBorder="1"/>
    <xf numFmtId="4" fontId="3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32" customWidth="1"/>
    <col min="4" max="4" width="10" customWidth="1"/>
    <col min="5" max="5" width="13" customWidth="1"/>
    <col min="6" max="6" width="12" customWidth="1"/>
    <col min="7" max="7" width="13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3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 t="s">
        <v>9</v>
      </c>
      <c r="C4" s="3" t="s">
        <v>10</v>
      </c>
      <c r="D4" s="3">
        <v>10</v>
      </c>
      <c r="E4" s="4">
        <v>246</v>
      </c>
      <c r="F4" s="4"/>
      <c r="G4" s="5">
        <v>1.12</v>
      </c>
    </row>
    <row r="5" spans="1:7" x14ac:dyDescent="0.25">
      <c r="A5" s="6" t="s">
        <v>11</v>
      </c>
      <c r="B5" s="6" t="s">
        <v>12</v>
      </c>
      <c r="C5" s="6" t="s">
        <v>13</v>
      </c>
      <c r="D5" s="6">
        <v>10</v>
      </c>
      <c r="E5" s="7">
        <v>499</v>
      </c>
      <c r="F5" s="7"/>
      <c r="G5" s="8">
        <v>2.27</v>
      </c>
    </row>
    <row r="6" spans="1:7" x14ac:dyDescent="0.25">
      <c r="A6" s="3" t="s">
        <v>14</v>
      </c>
      <c r="B6" s="3" t="s">
        <v>12</v>
      </c>
      <c r="C6" s="3" t="s">
        <v>13</v>
      </c>
      <c r="D6" s="3">
        <v>10</v>
      </c>
      <c r="E6" s="4">
        <v>499</v>
      </c>
      <c r="F6" s="4"/>
      <c r="G6" s="5">
        <v>2.27</v>
      </c>
    </row>
    <row r="7" spans="1:7" x14ac:dyDescent="0.25">
      <c r="A7" s="9" t="s">
        <v>8</v>
      </c>
      <c r="B7" s="9" t="s">
        <v>15</v>
      </c>
      <c r="C7" s="9" t="s">
        <v>16</v>
      </c>
      <c r="D7" s="9" t="s">
        <v>16</v>
      </c>
      <c r="E7" s="10">
        <v>246</v>
      </c>
      <c r="F7" s="10"/>
      <c r="G7" s="11">
        <v>1.12</v>
      </c>
    </row>
    <row r="8" spans="1:7" x14ac:dyDescent="0.25">
      <c r="A8" s="9" t="s">
        <v>11</v>
      </c>
      <c r="B8" s="9" t="s">
        <v>15</v>
      </c>
      <c r="C8" s="9" t="s">
        <v>16</v>
      </c>
      <c r="D8" s="9" t="s">
        <v>16</v>
      </c>
      <c r="E8" s="10">
        <v>499</v>
      </c>
      <c r="F8" s="10"/>
      <c r="G8" s="11">
        <v>2.27</v>
      </c>
    </row>
    <row r="9" spans="1:7" x14ac:dyDescent="0.25">
      <c r="A9" s="9" t="s">
        <v>14</v>
      </c>
      <c r="B9" s="9" t="s">
        <v>15</v>
      </c>
      <c r="C9" s="9" t="s">
        <v>16</v>
      </c>
      <c r="D9" s="9" t="s">
        <v>16</v>
      </c>
      <c r="E9" s="10">
        <v>499</v>
      </c>
      <c r="F9" s="10"/>
      <c r="G9" s="11">
        <v>2.27</v>
      </c>
    </row>
    <row r="11" spans="1:1" x14ac:dyDescent="0.25">
      <c r="A11" s="12" t="s">
        <v>17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5" width="13" customWidth="1"/>
  </cols>
  <sheetData>
    <row r="1" ht="24" customHeight="1" spans="1:5" x14ac:dyDescent="0.25">
      <c r="A1" s="1" t="s">
        <v>18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19</v>
      </c>
      <c r="C3" s="2" t="s">
        <v>20</v>
      </c>
      <c r="D3" s="2" t="s">
        <v>5</v>
      </c>
      <c r="E3" s="2" t="s">
        <v>7</v>
      </c>
    </row>
    <row r="4" spans="1:5" x14ac:dyDescent="0.25">
      <c r="A4" s="3" t="s">
        <v>21</v>
      </c>
      <c r="B4" s="3" t="s">
        <v>22</v>
      </c>
      <c r="C4" s="3" t="s">
        <v>23</v>
      </c>
      <c r="D4" s="4">
        <v>2200</v>
      </c>
      <c r="E4" s="5">
        <v>10</v>
      </c>
    </row>
    <row r="5" spans="1:5" x14ac:dyDescent="0.25">
      <c r="A5" s="6" t="s">
        <v>21</v>
      </c>
      <c r="B5" s="6" t="s">
        <v>24</v>
      </c>
      <c r="C5" s="6" t="s">
        <v>23</v>
      </c>
      <c r="D5" s="7">
        <v>2200</v>
      </c>
      <c r="E5" s="8">
        <v>10</v>
      </c>
    </row>
    <row r="6" spans="1:5" x14ac:dyDescent="0.25">
      <c r="A6" s="3" t="s">
        <v>21</v>
      </c>
      <c r="B6" s="3" t="s">
        <v>25</v>
      </c>
      <c r="C6" s="3" t="s">
        <v>23</v>
      </c>
      <c r="D6" s="4">
        <v>2000</v>
      </c>
      <c r="E6" s="5">
        <v>9.09</v>
      </c>
    </row>
    <row r="7" spans="1:5" x14ac:dyDescent="0.25">
      <c r="A7" s="6" t="s">
        <v>21</v>
      </c>
      <c r="B7" s="6" t="s">
        <v>26</v>
      </c>
      <c r="C7" s="6" t="s">
        <v>23</v>
      </c>
      <c r="D7" s="7">
        <v>2000</v>
      </c>
      <c r="E7" s="8">
        <v>9.09</v>
      </c>
    </row>
    <row r="8" spans="1:5" x14ac:dyDescent="0.25">
      <c r="A8" s="3" t="s">
        <v>21</v>
      </c>
      <c r="B8" s="3" t="s">
        <v>27</v>
      </c>
      <c r="C8" s="3" t="s">
        <v>23</v>
      </c>
      <c r="D8" s="4">
        <v>1500</v>
      </c>
      <c r="E8" s="5">
        <v>6.82</v>
      </c>
    </row>
    <row r="9" spans="1:5" x14ac:dyDescent="0.25">
      <c r="A9" s="9" t="s">
        <v>28</v>
      </c>
      <c r="B9" s="9" t="s">
        <v>29</v>
      </c>
      <c r="C9" s="9" t="s">
        <v>30</v>
      </c>
      <c r="D9" s="10">
        <v>6400</v>
      </c>
      <c r="E9" s="11">
        <v>29.09</v>
      </c>
    </row>
    <row r="10" spans="1:5" x14ac:dyDescent="0.25">
      <c r="A10" s="9" t="s">
        <v>31</v>
      </c>
      <c r="B10" s="9" t="s">
        <v>32</v>
      </c>
      <c r="C10" s="9" t="s">
        <v>33</v>
      </c>
      <c r="D10" s="10">
        <v>3200</v>
      </c>
      <c r="E10" s="11">
        <v>14.55</v>
      </c>
    </row>
    <row r="11" spans="1:5" x14ac:dyDescent="0.25">
      <c r="A11" s="9" t="s">
        <v>34</v>
      </c>
      <c r="B11" s="9" t="s">
        <v>35</v>
      </c>
      <c r="C11" s="9" t="s">
        <v>36</v>
      </c>
      <c r="D11" s="10">
        <v>3200</v>
      </c>
      <c r="E11" s="11">
        <v>14.55</v>
      </c>
    </row>
    <row r="12" spans="1:5" x14ac:dyDescent="0.25">
      <c r="A12" s="9" t="s">
        <v>37</v>
      </c>
      <c r="B12" s="9" t="s">
        <v>38</v>
      </c>
      <c r="C12" s="9" t="s">
        <v>39</v>
      </c>
      <c r="D12" s="10">
        <v>2200</v>
      </c>
      <c r="E12" s="11">
        <v>10</v>
      </c>
    </row>
    <row r="14" spans="1:1" x14ac:dyDescent="0.25">
      <c r="A14" s="12" t="s">
        <v>40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22" customWidth="1"/>
    <col min="4" max="5" width="13" customWidth="1"/>
  </cols>
  <sheetData>
    <row r="1" ht="24" customHeight="1" spans="1:5" x14ac:dyDescent="0.25">
      <c r="A1" s="1" t="s">
        <v>41</v>
      </c>
      <c r="B1" s="1"/>
      <c r="C1" s="1"/>
      <c r="D1" s="1"/>
      <c r="E1" s="1"/>
    </row>
    <row r="3" ht="30" customHeight="1" spans="1:5" x14ac:dyDescent="0.25">
      <c r="A3" s="2" t="s">
        <v>1</v>
      </c>
      <c r="B3" s="2" t="s">
        <v>19</v>
      </c>
      <c r="C3" s="2" t="s">
        <v>20</v>
      </c>
      <c r="D3" s="2" t="s">
        <v>5</v>
      </c>
      <c r="E3" s="2" t="s">
        <v>7</v>
      </c>
    </row>
    <row r="4" spans="1:5" x14ac:dyDescent="0.25">
      <c r="A4" s="3" t="s">
        <v>42</v>
      </c>
      <c r="B4" s="3" t="s">
        <v>43</v>
      </c>
      <c r="C4" s="3" t="s">
        <v>44</v>
      </c>
      <c r="D4" s="4">
        <v>1864</v>
      </c>
      <c r="E4" s="5">
        <v>8.47</v>
      </c>
    </row>
    <row r="5" spans="1:5" x14ac:dyDescent="0.25">
      <c r="A5" s="6" t="s">
        <v>42</v>
      </c>
      <c r="B5" s="6" t="s">
        <v>45</v>
      </c>
      <c r="C5" s="6" t="s">
        <v>44</v>
      </c>
      <c r="D5" s="7">
        <v>1100</v>
      </c>
      <c r="E5" s="8">
        <v>5</v>
      </c>
    </row>
    <row r="6" spans="1:5" x14ac:dyDescent="0.25">
      <c r="A6" s="9" t="s">
        <v>42</v>
      </c>
      <c r="B6" s="9" t="s">
        <v>15</v>
      </c>
      <c r="C6" s="9" t="s">
        <v>46</v>
      </c>
      <c r="D6" s="10">
        <v>2964</v>
      </c>
      <c r="E6" s="11">
        <v>13.47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6" customWidth="1"/>
    <col min="4" max="5" width="12" customWidth="1"/>
    <col min="6" max="7" width="14" customWidth="1"/>
    <col min="8" max="8" width="13" customWidth="1"/>
  </cols>
  <sheetData>
    <row r="1" ht="24" customHeight="1" spans="1:8" x14ac:dyDescent="0.25">
      <c r="A1" s="1" t="s">
        <v>47</v>
      </c>
      <c r="B1" s="1"/>
      <c r="C1" s="1"/>
      <c r="D1" s="1"/>
      <c r="E1" s="1"/>
      <c r="F1" s="1"/>
      <c r="G1" s="1"/>
      <c r="H1" s="1"/>
    </row>
    <row r="3" ht="30" customHeight="1" spans="1:8" x14ac:dyDescent="0.25">
      <c r="A3" s="2" t="s">
        <v>48</v>
      </c>
      <c r="B3" s="2" t="s">
        <v>1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</row>
    <row r="4" spans="1:8" x14ac:dyDescent="0.25">
      <c r="A4" s="3" t="s">
        <v>55</v>
      </c>
      <c r="B4" s="3" t="s">
        <v>8</v>
      </c>
      <c r="C4" s="3" t="s">
        <v>56</v>
      </c>
      <c r="D4" s="3">
        <v>1.5</v>
      </c>
      <c r="E4" s="13">
        <v>3.3</v>
      </c>
      <c r="F4" s="3" t="s">
        <v>57</v>
      </c>
      <c r="G4" s="13">
        <v>12.5</v>
      </c>
      <c r="H4" s="13">
        <v>20.9</v>
      </c>
    </row>
    <row r="5" spans="1:8" x14ac:dyDescent="0.25">
      <c r="A5" s="6" t="s">
        <v>58</v>
      </c>
      <c r="B5" s="6" t="s">
        <v>31</v>
      </c>
      <c r="C5" s="6" t="s">
        <v>56</v>
      </c>
      <c r="D5" s="6">
        <v>2.5</v>
      </c>
      <c r="E5" s="14">
        <v>3.8</v>
      </c>
      <c r="F5" s="6" t="s">
        <v>57</v>
      </c>
      <c r="G5" s="14">
        <v>12.5</v>
      </c>
      <c r="H5" s="14">
        <v>27.7</v>
      </c>
    </row>
    <row r="6" spans="1:8" x14ac:dyDescent="0.25">
      <c r="A6" s="3" t="s">
        <v>59</v>
      </c>
      <c r="B6" s="3" t="s">
        <v>60</v>
      </c>
      <c r="C6" s="3" t="s">
        <v>61</v>
      </c>
      <c r="D6" s="3">
        <v>35</v>
      </c>
      <c r="E6" s="13">
        <v>10.9</v>
      </c>
      <c r="F6" s="3" t="s">
        <v>62</v>
      </c>
      <c r="G6" s="13">
        <v>45</v>
      </c>
      <c r="H6" s="13">
        <v>29.3</v>
      </c>
    </row>
    <row r="8" spans="1:1" x14ac:dyDescent="0.25">
      <c r="A8" s="12" t="s">
        <v>63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60" customWidth="1"/>
    <col min="3" max="3" width="8" customWidth="1"/>
    <col min="4" max="4" width="10" customWidth="1"/>
    <col min="5" max="6" width="16" customWidth="1"/>
  </cols>
  <sheetData>
    <row r="1" ht="24" customHeight="1" spans="1:6" x14ac:dyDescent="0.25">
      <c r="A1" s="1" t="s">
        <v>64</v>
      </c>
      <c r="B1" s="1"/>
      <c r="C1" s="1"/>
      <c r="D1" s="1"/>
      <c r="E1" s="1"/>
      <c r="F1" s="1"/>
    </row>
    <row r="3" ht="30" customHeight="1" spans="1:6" x14ac:dyDescent="0.25">
      <c r="A3" s="2" t="s">
        <v>65</v>
      </c>
      <c r="B3" s="2" t="s">
        <v>66</v>
      </c>
      <c r="C3" s="2" t="s">
        <v>67</v>
      </c>
      <c r="D3" s="2" t="s">
        <v>4</v>
      </c>
      <c r="E3" s="2" t="s">
        <v>68</v>
      </c>
      <c r="F3" s="2" t="s">
        <v>69</v>
      </c>
    </row>
    <row r="4" spans="1:6" x14ac:dyDescent="0.25">
      <c r="A4" s="3" t="s">
        <v>49</v>
      </c>
      <c r="B4" s="3" t="s">
        <v>70</v>
      </c>
      <c r="C4" s="3" t="s">
        <v>71</v>
      </c>
      <c r="D4" s="3">
        <v>160</v>
      </c>
      <c r="E4" s="15">
        <v>0.32</v>
      </c>
      <c r="F4" s="15">
        <f>D4*E4</f>
        <v>51.2</v>
      </c>
    </row>
    <row r="5" spans="1:6" x14ac:dyDescent="0.25">
      <c r="A5" s="6" t="s">
        <v>49</v>
      </c>
      <c r="B5" s="6" t="s">
        <v>72</v>
      </c>
      <c r="C5" s="6" t="s">
        <v>71</v>
      </c>
      <c r="D5" s="6">
        <v>80</v>
      </c>
      <c r="E5" s="16">
        <v>1.6</v>
      </c>
      <c r="F5" s="16">
        <f>D5*E5</f>
        <v>128</v>
      </c>
    </row>
    <row r="6" spans="1:6" x14ac:dyDescent="0.25">
      <c r="A6" s="3" t="s">
        <v>49</v>
      </c>
      <c r="B6" s="3" t="s">
        <v>73</v>
      </c>
      <c r="C6" s="3" t="s">
        <v>71</v>
      </c>
      <c r="D6" s="3">
        <v>160</v>
      </c>
      <c r="E6" s="15">
        <v>0.45</v>
      </c>
      <c r="F6" s="15">
        <f>D6*E6</f>
        <v>72</v>
      </c>
    </row>
    <row r="7" spans="1:6" x14ac:dyDescent="0.25">
      <c r="A7" s="6" t="s">
        <v>49</v>
      </c>
      <c r="B7" s="6" t="s">
        <v>74</v>
      </c>
      <c r="C7" s="6" t="s">
        <v>71</v>
      </c>
      <c r="D7" s="6">
        <v>40</v>
      </c>
      <c r="E7" s="16">
        <v>6.2</v>
      </c>
      <c r="F7" s="16">
        <f>D7*E7</f>
        <v>248</v>
      </c>
    </row>
    <row r="8" spans="1:6" x14ac:dyDescent="0.25">
      <c r="A8" s="3" t="s">
        <v>49</v>
      </c>
      <c r="B8" s="3" t="s">
        <v>75</v>
      </c>
      <c r="C8" s="3" t="s">
        <v>71</v>
      </c>
      <c r="D8" s="3">
        <v>10</v>
      </c>
      <c r="E8" s="15">
        <v>2.9</v>
      </c>
      <c r="F8" s="15">
        <f>D8*E8</f>
        <v>29</v>
      </c>
    </row>
    <row r="9" spans="1:6" x14ac:dyDescent="0.25">
      <c r="A9" s="6" t="s">
        <v>49</v>
      </c>
      <c r="B9" s="6" t="s">
        <v>76</v>
      </c>
      <c r="C9" s="6" t="s">
        <v>71</v>
      </c>
      <c r="D9" s="6">
        <v>20</v>
      </c>
      <c r="E9" s="16">
        <v>26</v>
      </c>
      <c r="F9" s="16">
        <f>D9*E9</f>
        <v>520</v>
      </c>
    </row>
    <row r="10" spans="1:6" x14ac:dyDescent="0.25">
      <c r="A10" s="3" t="s">
        <v>49</v>
      </c>
      <c r="B10" s="3" t="s">
        <v>77</v>
      </c>
      <c r="C10" s="3" t="s">
        <v>71</v>
      </c>
      <c r="D10" s="3">
        <v>45</v>
      </c>
      <c r="E10" s="15">
        <v>2.1</v>
      </c>
      <c r="F10" s="15">
        <f>D10*E10</f>
        <v>94.5</v>
      </c>
    </row>
    <row r="11" spans="1:6" x14ac:dyDescent="0.25">
      <c r="A11" s="6" t="s">
        <v>49</v>
      </c>
      <c r="B11" s="6" t="s">
        <v>78</v>
      </c>
      <c r="C11" s="6" t="s">
        <v>71</v>
      </c>
      <c r="D11" s="6">
        <v>100</v>
      </c>
      <c r="E11" s="16">
        <v>2.6</v>
      </c>
      <c r="F11" s="16">
        <f>D11*E11</f>
        <v>260</v>
      </c>
    </row>
    <row r="12" spans="1:6" x14ac:dyDescent="0.25">
      <c r="A12" s="3" t="s">
        <v>49</v>
      </c>
      <c r="B12" s="3" t="s">
        <v>79</v>
      </c>
      <c r="C12" s="3" t="s">
        <v>71</v>
      </c>
      <c r="D12" s="3">
        <v>14</v>
      </c>
      <c r="E12" s="15">
        <v>2.9</v>
      </c>
      <c r="F12" s="15">
        <f>D12*E12</f>
        <v>40.6</v>
      </c>
    </row>
    <row r="13" spans="1:6" x14ac:dyDescent="0.25">
      <c r="A13" s="6" t="s">
        <v>49</v>
      </c>
      <c r="B13" s="6" t="s">
        <v>80</v>
      </c>
      <c r="C13" s="6" t="s">
        <v>71</v>
      </c>
      <c r="D13" s="6">
        <v>10</v>
      </c>
      <c r="E13" s="16">
        <v>2.9</v>
      </c>
      <c r="F13" s="16">
        <f>D13*E13</f>
        <v>29</v>
      </c>
    </row>
    <row r="14" spans="1:6" x14ac:dyDescent="0.25">
      <c r="A14" s="3" t="s">
        <v>49</v>
      </c>
      <c r="B14" s="3" t="s">
        <v>81</v>
      </c>
      <c r="C14" s="3" t="s">
        <v>71</v>
      </c>
      <c r="D14" s="3">
        <v>60</v>
      </c>
      <c r="E14" s="15">
        <v>0.45</v>
      </c>
      <c r="F14" s="15">
        <f>D14*E14</f>
        <v>27</v>
      </c>
    </row>
    <row r="15" spans="1:6" x14ac:dyDescent="0.25">
      <c r="A15" s="6" t="s">
        <v>82</v>
      </c>
      <c r="B15" s="6" t="s">
        <v>83</v>
      </c>
      <c r="C15" s="6" t="s">
        <v>84</v>
      </c>
      <c r="D15" s="6">
        <v>3</v>
      </c>
      <c r="E15" s="16">
        <v>22</v>
      </c>
      <c r="F15" s="16">
        <f>D15*E15</f>
        <v>66</v>
      </c>
    </row>
    <row r="16" spans="1:6" x14ac:dyDescent="0.25">
      <c r="A16" s="3" t="s">
        <v>82</v>
      </c>
      <c r="B16" s="3" t="s">
        <v>85</v>
      </c>
      <c r="C16" s="3" t="s">
        <v>84</v>
      </c>
      <c r="D16" s="3">
        <v>55</v>
      </c>
      <c r="E16" s="15">
        <v>6.5</v>
      </c>
      <c r="F16" s="15">
        <f>D16*E16</f>
        <v>357.5</v>
      </c>
    </row>
    <row r="17" spans="1:6" x14ac:dyDescent="0.25">
      <c r="A17" s="6" t="s">
        <v>82</v>
      </c>
      <c r="B17" s="6" t="s">
        <v>86</v>
      </c>
      <c r="C17" s="6" t="s">
        <v>84</v>
      </c>
      <c r="D17" s="6">
        <v>10</v>
      </c>
      <c r="E17" s="16">
        <v>22</v>
      </c>
      <c r="F17" s="16">
        <f>D17*E17</f>
        <v>220</v>
      </c>
    </row>
    <row r="18" spans="1:6" x14ac:dyDescent="0.25">
      <c r="A18" s="3" t="s">
        <v>82</v>
      </c>
      <c r="B18" s="3" t="s">
        <v>87</v>
      </c>
      <c r="C18" s="3" t="s">
        <v>88</v>
      </c>
      <c r="D18" s="3">
        <v>1</v>
      </c>
      <c r="E18" s="15">
        <v>95</v>
      </c>
      <c r="F18" s="15">
        <f>D18*E18</f>
        <v>95</v>
      </c>
    </row>
    <row r="19" spans="1:6" x14ac:dyDescent="0.25">
      <c r="A19" s="6" t="s">
        <v>82</v>
      </c>
      <c r="B19" s="6" t="s">
        <v>89</v>
      </c>
      <c r="C19" s="6" t="s">
        <v>88</v>
      </c>
      <c r="D19" s="6">
        <v>1</v>
      </c>
      <c r="E19" s="16">
        <v>140</v>
      </c>
      <c r="F19" s="16">
        <f>D19*E19</f>
        <v>140</v>
      </c>
    </row>
    <row r="20" spans="1:6" x14ac:dyDescent="0.25">
      <c r="A20" s="3" t="s">
        <v>90</v>
      </c>
      <c r="B20" s="3" t="s">
        <v>91</v>
      </c>
      <c r="C20" s="3" t="s">
        <v>84</v>
      </c>
      <c r="D20" s="3">
        <v>1</v>
      </c>
      <c r="E20" s="15">
        <v>120</v>
      </c>
      <c r="F20" s="15">
        <f>D20*E20</f>
        <v>120</v>
      </c>
    </row>
    <row r="21" spans="1:6" x14ac:dyDescent="0.25">
      <c r="A21" s="6" t="s">
        <v>90</v>
      </c>
      <c r="B21" s="6" t="s">
        <v>92</v>
      </c>
      <c r="C21" s="6" t="s">
        <v>84</v>
      </c>
      <c r="D21" s="6">
        <v>1</v>
      </c>
      <c r="E21" s="16">
        <v>150</v>
      </c>
      <c r="F21" s="16">
        <f>D21*E21</f>
        <v>150</v>
      </c>
    </row>
    <row r="22" spans="1:6" x14ac:dyDescent="0.25">
      <c r="A22" s="3" t="s">
        <v>90</v>
      </c>
      <c r="B22" s="3" t="s">
        <v>93</v>
      </c>
      <c r="C22" s="3" t="s">
        <v>88</v>
      </c>
      <c r="D22" s="3">
        <v>1</v>
      </c>
      <c r="E22" s="15">
        <v>90</v>
      </c>
      <c r="F22" s="15">
        <f>D22*E22</f>
        <v>90</v>
      </c>
    </row>
    <row r="23" spans="1:6" x14ac:dyDescent="0.25">
      <c r="A23" s="6" t="s">
        <v>94</v>
      </c>
      <c r="B23" s="6" t="s">
        <v>95</v>
      </c>
      <c r="C23" s="6" t="s">
        <v>84</v>
      </c>
      <c r="D23" s="6">
        <v>1</v>
      </c>
      <c r="E23" s="16">
        <v>130</v>
      </c>
      <c r="F23" s="16">
        <f>D23*E23</f>
        <v>130</v>
      </c>
    </row>
    <row r="24" spans="1:6" x14ac:dyDescent="0.25">
      <c r="A24" s="3" t="s">
        <v>94</v>
      </c>
      <c r="B24" s="3" t="s">
        <v>96</v>
      </c>
      <c r="C24" s="3" t="s">
        <v>84</v>
      </c>
      <c r="D24" s="3">
        <v>1</v>
      </c>
      <c r="E24" s="15">
        <v>130</v>
      </c>
      <c r="F24" s="15">
        <f>D24*E24</f>
        <v>130</v>
      </c>
    </row>
    <row r="25" spans="1:6" x14ac:dyDescent="0.25">
      <c r="A25" s="6" t="s">
        <v>94</v>
      </c>
      <c r="B25" s="6" t="s">
        <v>97</v>
      </c>
      <c r="C25" s="6" t="s">
        <v>84</v>
      </c>
      <c r="D25" s="6">
        <v>1</v>
      </c>
      <c r="E25" s="16">
        <v>70</v>
      </c>
      <c r="F25" s="16">
        <f>D25*E25</f>
        <v>70</v>
      </c>
    </row>
    <row r="26" spans="1:6" x14ac:dyDescent="0.25">
      <c r="A26" s="3" t="s">
        <v>94</v>
      </c>
      <c r="B26" s="3" t="s">
        <v>98</v>
      </c>
      <c r="C26" s="3" t="s">
        <v>84</v>
      </c>
      <c r="D26" s="3">
        <v>1</v>
      </c>
      <c r="E26" s="15">
        <v>140</v>
      </c>
      <c r="F26" s="15">
        <f>D26*E26</f>
        <v>140</v>
      </c>
    </row>
    <row r="27" spans="1:6" x14ac:dyDescent="0.25">
      <c r="A27" s="6" t="s">
        <v>94</v>
      </c>
      <c r="B27" s="6" t="s">
        <v>99</v>
      </c>
      <c r="C27" s="6" t="s">
        <v>84</v>
      </c>
      <c r="D27" s="6">
        <v>5</v>
      </c>
      <c r="E27" s="16">
        <v>45</v>
      </c>
      <c r="F27" s="16">
        <f>D27*E27</f>
        <v>225</v>
      </c>
    </row>
    <row r="28" spans="1:6" x14ac:dyDescent="0.25">
      <c r="A28" s="3" t="s">
        <v>94</v>
      </c>
      <c r="B28" s="3" t="s">
        <v>100</v>
      </c>
      <c r="C28" s="3" t="s">
        <v>84</v>
      </c>
      <c r="D28" s="3">
        <v>3</v>
      </c>
      <c r="E28" s="15">
        <v>11</v>
      </c>
      <c r="F28" s="15">
        <f>D28*E28</f>
        <v>33</v>
      </c>
    </row>
    <row r="29" spans="1:6" x14ac:dyDescent="0.25">
      <c r="A29" s="6" t="s">
        <v>94</v>
      </c>
      <c r="B29" s="6" t="s">
        <v>101</v>
      </c>
      <c r="C29" s="6" t="s">
        <v>84</v>
      </c>
      <c r="D29" s="6">
        <v>4</v>
      </c>
      <c r="E29" s="16">
        <v>12</v>
      </c>
      <c r="F29" s="16">
        <f>D29*E29</f>
        <v>48</v>
      </c>
    </row>
    <row r="30" spans="1:6" x14ac:dyDescent="0.25">
      <c r="A30" s="3" t="s">
        <v>94</v>
      </c>
      <c r="B30" s="3" t="s">
        <v>102</v>
      </c>
      <c r="C30" s="3" t="s">
        <v>84</v>
      </c>
      <c r="D30" s="3">
        <v>1</v>
      </c>
      <c r="E30" s="15">
        <v>38</v>
      </c>
      <c r="F30" s="15">
        <f>D30*E30</f>
        <v>38</v>
      </c>
    </row>
    <row r="31" spans="1:6" x14ac:dyDescent="0.25">
      <c r="A31" s="6" t="s">
        <v>94</v>
      </c>
      <c r="B31" s="6" t="s">
        <v>103</v>
      </c>
      <c r="C31" s="6" t="s">
        <v>84</v>
      </c>
      <c r="D31" s="6">
        <v>5</v>
      </c>
      <c r="E31" s="16">
        <v>38</v>
      </c>
      <c r="F31" s="16">
        <f>D31*E31</f>
        <v>190</v>
      </c>
    </row>
    <row r="32" spans="1:6" x14ac:dyDescent="0.25">
      <c r="A32" s="3" t="s">
        <v>94</v>
      </c>
      <c r="B32" s="3" t="s">
        <v>104</v>
      </c>
      <c r="C32" s="3" t="s">
        <v>84</v>
      </c>
      <c r="D32" s="3">
        <v>1</v>
      </c>
      <c r="E32" s="15">
        <v>70</v>
      </c>
      <c r="F32" s="15">
        <f>D32*E32</f>
        <v>70</v>
      </c>
    </row>
    <row r="33" spans="1:6" x14ac:dyDescent="0.25">
      <c r="A33" s="6" t="s">
        <v>94</v>
      </c>
      <c r="B33" s="6" t="s">
        <v>105</v>
      </c>
      <c r="C33" s="6" t="s">
        <v>84</v>
      </c>
      <c r="D33" s="6">
        <v>1</v>
      </c>
      <c r="E33" s="16">
        <v>11</v>
      </c>
      <c r="F33" s="16">
        <f>D33*E33</f>
        <v>11</v>
      </c>
    </row>
    <row r="34" spans="1:6" x14ac:dyDescent="0.25">
      <c r="A34" s="3" t="s">
        <v>94</v>
      </c>
      <c r="B34" s="3" t="s">
        <v>106</v>
      </c>
      <c r="C34" s="3" t="s">
        <v>84</v>
      </c>
      <c r="D34" s="3">
        <v>1</v>
      </c>
      <c r="E34" s="15">
        <v>60</v>
      </c>
      <c r="F34" s="15">
        <f>D34*E34</f>
        <v>60</v>
      </c>
    </row>
    <row r="35" spans="1:6" x14ac:dyDescent="0.25">
      <c r="A35" s="6" t="s">
        <v>107</v>
      </c>
      <c r="B35" s="6" t="s">
        <v>108</v>
      </c>
      <c r="C35" s="6" t="s">
        <v>84</v>
      </c>
      <c r="D35" s="6">
        <v>5</v>
      </c>
      <c r="E35" s="16">
        <v>55</v>
      </c>
      <c r="F35" s="16">
        <f>D35*E35</f>
        <v>275</v>
      </c>
    </row>
    <row r="36" spans="1:6" x14ac:dyDescent="0.25">
      <c r="A36" s="3" t="s">
        <v>107</v>
      </c>
      <c r="B36" s="3" t="s">
        <v>109</v>
      </c>
      <c r="C36" s="3" t="s">
        <v>84</v>
      </c>
      <c r="D36" s="3">
        <v>1</v>
      </c>
      <c r="E36" s="15">
        <v>52</v>
      </c>
      <c r="F36" s="15">
        <f>D36*E36</f>
        <v>52</v>
      </c>
    </row>
    <row r="37" spans="1:6" x14ac:dyDescent="0.25">
      <c r="A37" s="6" t="s">
        <v>107</v>
      </c>
      <c r="B37" s="6" t="s">
        <v>110</v>
      </c>
      <c r="C37" s="6" t="s">
        <v>84</v>
      </c>
      <c r="D37" s="6">
        <v>6</v>
      </c>
      <c r="E37" s="16">
        <v>35</v>
      </c>
      <c r="F37" s="16">
        <f>D37*E37</f>
        <v>210</v>
      </c>
    </row>
    <row r="38" spans="1:6" x14ac:dyDescent="0.25">
      <c r="A38" s="3" t="s">
        <v>107</v>
      </c>
      <c r="B38" s="3" t="s">
        <v>111</v>
      </c>
      <c r="C38" s="3" t="s">
        <v>112</v>
      </c>
      <c r="D38" s="3">
        <v>6</v>
      </c>
      <c r="E38" s="15">
        <v>12</v>
      </c>
      <c r="F38" s="15">
        <f>D38*E38</f>
        <v>72</v>
      </c>
    </row>
    <row r="39" spans="1:6" x14ac:dyDescent="0.25">
      <c r="A39" s="6" t="s">
        <v>107</v>
      </c>
      <c r="B39" s="6" t="s">
        <v>113</v>
      </c>
      <c r="C39" s="6" t="s">
        <v>84</v>
      </c>
      <c r="D39" s="6">
        <v>8</v>
      </c>
      <c r="E39" s="16">
        <v>14</v>
      </c>
      <c r="F39" s="16">
        <f>D39*E39</f>
        <v>112</v>
      </c>
    </row>
    <row r="40" spans="1:6" x14ac:dyDescent="0.25">
      <c r="A40" s="3" t="s">
        <v>107</v>
      </c>
      <c r="B40" s="3" t="s">
        <v>114</v>
      </c>
      <c r="C40" s="3" t="s">
        <v>84</v>
      </c>
      <c r="D40" s="3">
        <v>7</v>
      </c>
      <c r="E40" s="15">
        <v>4</v>
      </c>
      <c r="F40" s="15">
        <f>D40*E40</f>
        <v>28</v>
      </c>
    </row>
    <row r="41" spans="1:6" x14ac:dyDescent="0.25">
      <c r="A41" s="6" t="s">
        <v>115</v>
      </c>
      <c r="B41" s="6" t="s">
        <v>116</v>
      </c>
      <c r="C41" s="6" t="s">
        <v>84</v>
      </c>
      <c r="D41" s="6">
        <v>4</v>
      </c>
      <c r="E41" s="16">
        <v>12</v>
      </c>
      <c r="F41" s="16">
        <f>D41*E41</f>
        <v>48</v>
      </c>
    </row>
    <row r="42" spans="1:6" x14ac:dyDescent="0.25">
      <c r="A42" s="3" t="s">
        <v>115</v>
      </c>
      <c r="B42" s="3" t="s">
        <v>117</v>
      </c>
      <c r="C42" s="3" t="s">
        <v>84</v>
      </c>
      <c r="D42" s="3">
        <v>6</v>
      </c>
      <c r="E42" s="15">
        <v>25</v>
      </c>
      <c r="F42" s="15">
        <f>D42*E42</f>
        <v>150</v>
      </c>
    </row>
    <row r="43" spans="1:6" x14ac:dyDescent="0.25">
      <c r="A43" s="6" t="s">
        <v>115</v>
      </c>
      <c r="B43" s="6" t="s">
        <v>118</v>
      </c>
      <c r="C43" s="6" t="s">
        <v>84</v>
      </c>
      <c r="D43" s="6">
        <v>10</v>
      </c>
      <c r="E43" s="16">
        <v>9</v>
      </c>
      <c r="F43" s="16">
        <f>D43*E43</f>
        <v>90</v>
      </c>
    </row>
    <row r="44" spans="1:6" x14ac:dyDescent="0.25">
      <c r="A44" s="3" t="s">
        <v>115</v>
      </c>
      <c r="B44" s="3" t="s">
        <v>119</v>
      </c>
      <c r="C44" s="3" t="s">
        <v>84</v>
      </c>
      <c r="D44" s="3">
        <v>6</v>
      </c>
      <c r="E44" s="15">
        <v>45</v>
      </c>
      <c r="F44" s="15">
        <f>D44*E44</f>
        <v>270</v>
      </c>
    </row>
    <row r="45" spans="1:6" x14ac:dyDescent="0.25">
      <c r="A45" s="6" t="s">
        <v>120</v>
      </c>
      <c r="B45" s="6" t="s">
        <v>121</v>
      </c>
      <c r="C45" s="6" t="s">
        <v>84</v>
      </c>
      <c r="D45" s="6">
        <v>19</v>
      </c>
      <c r="E45" s="16">
        <v>55</v>
      </c>
      <c r="F45" s="16">
        <f>D45*E45</f>
        <v>1045</v>
      </c>
    </row>
    <row r="46" spans="1:6" x14ac:dyDescent="0.25">
      <c r="A46" s="3" t="s">
        <v>120</v>
      </c>
      <c r="B46" s="3" t="s">
        <v>122</v>
      </c>
      <c r="C46" s="3" t="s">
        <v>84</v>
      </c>
      <c r="D46" s="3">
        <v>7</v>
      </c>
      <c r="E46" s="15">
        <v>20</v>
      </c>
      <c r="F46" s="15">
        <f>D46*E46</f>
        <v>140</v>
      </c>
    </row>
    <row r="47" spans="1:6" x14ac:dyDescent="0.25">
      <c r="A47" s="6" t="s">
        <v>120</v>
      </c>
      <c r="B47" s="6" t="s">
        <v>123</v>
      </c>
      <c r="C47" s="6" t="s">
        <v>84</v>
      </c>
      <c r="D47" s="6">
        <v>2</v>
      </c>
      <c r="E47" s="16">
        <v>8</v>
      </c>
      <c r="F47" s="16">
        <f>D47*E47</f>
        <v>16</v>
      </c>
    </row>
    <row r="48" spans="1:6" x14ac:dyDescent="0.25">
      <c r="A48" s="3" t="s">
        <v>120</v>
      </c>
      <c r="B48" s="3" t="s">
        <v>124</v>
      </c>
      <c r="C48" s="3" t="s">
        <v>88</v>
      </c>
      <c r="D48" s="3">
        <v>1</v>
      </c>
      <c r="E48" s="15">
        <v>60</v>
      </c>
      <c r="F48" s="15">
        <f>D48*E48</f>
        <v>60</v>
      </c>
    </row>
    <row r="49" spans="1:6" x14ac:dyDescent="0.25">
      <c r="A49" s="6" t="s">
        <v>125</v>
      </c>
      <c r="B49" s="6" t="s">
        <v>126</v>
      </c>
      <c r="C49" s="6" t="s">
        <v>84</v>
      </c>
      <c r="D49" s="6">
        <v>1</v>
      </c>
      <c r="E49" s="16">
        <v>45</v>
      </c>
      <c r="F49" s="16">
        <f>D49*E49</f>
        <v>45</v>
      </c>
    </row>
    <row r="50" spans="1:6" x14ac:dyDescent="0.25">
      <c r="A50" s="3" t="s">
        <v>127</v>
      </c>
      <c r="B50" s="3" t="s">
        <v>128</v>
      </c>
      <c r="C50" s="3" t="s">
        <v>84</v>
      </c>
      <c r="D50" s="3">
        <v>1</v>
      </c>
      <c r="E50" s="15">
        <v>150</v>
      </c>
      <c r="F50" s="15">
        <f>D50*E50</f>
        <v>150</v>
      </c>
    </row>
    <row r="51" spans="1:6" x14ac:dyDescent="0.25">
      <c r="A51" s="6" t="s">
        <v>127</v>
      </c>
      <c r="B51" s="6" t="s">
        <v>129</v>
      </c>
      <c r="C51" s="6" t="s">
        <v>84</v>
      </c>
      <c r="D51" s="6">
        <v>2</v>
      </c>
      <c r="E51" s="16">
        <v>18</v>
      </c>
      <c r="F51" s="16">
        <f>D51*E51</f>
        <v>36</v>
      </c>
    </row>
    <row r="52" spans="1:6" x14ac:dyDescent="0.25">
      <c r="A52" s="3" t="s">
        <v>127</v>
      </c>
      <c r="B52" s="3" t="s">
        <v>130</v>
      </c>
      <c r="C52" s="3" t="s">
        <v>84</v>
      </c>
      <c r="D52" s="3">
        <v>2</v>
      </c>
      <c r="E52" s="15">
        <v>60</v>
      </c>
      <c r="F52" s="15">
        <f>D52*E52</f>
        <v>120</v>
      </c>
    </row>
    <row r="53" spans="1:6" x14ac:dyDescent="0.25">
      <c r="A53" s="6" t="s">
        <v>127</v>
      </c>
      <c r="B53" s="6" t="s">
        <v>131</v>
      </c>
      <c r="C53" s="6" t="s">
        <v>84</v>
      </c>
      <c r="D53" s="6">
        <v>2</v>
      </c>
      <c r="E53" s="16">
        <v>25</v>
      </c>
      <c r="F53" s="16">
        <f>D53*E53</f>
        <v>50</v>
      </c>
    </row>
    <row r="54" spans="1:6" x14ac:dyDescent="0.25">
      <c r="A54" s="3" t="s">
        <v>127</v>
      </c>
      <c r="B54" s="3" t="s">
        <v>132</v>
      </c>
      <c r="C54" s="3" t="s">
        <v>84</v>
      </c>
      <c r="D54" s="3">
        <v>4</v>
      </c>
      <c r="E54" s="15">
        <v>20</v>
      </c>
      <c r="F54" s="15">
        <f>D54*E54</f>
        <v>80</v>
      </c>
    </row>
    <row r="55" spans="1:6" x14ac:dyDescent="0.25">
      <c r="A55" s="6" t="s">
        <v>127</v>
      </c>
      <c r="B55" s="6" t="s">
        <v>133</v>
      </c>
      <c r="C55" s="6" t="s">
        <v>88</v>
      </c>
      <c r="D55" s="6">
        <v>1</v>
      </c>
      <c r="E55" s="16">
        <v>220</v>
      </c>
      <c r="F55" s="16">
        <f>D55*E55</f>
        <v>220</v>
      </c>
    </row>
    <row r="56" spans="1:6" x14ac:dyDescent="0.25">
      <c r="A56" s="3" t="s">
        <v>127</v>
      </c>
      <c r="B56" s="3" t="s">
        <v>134</v>
      </c>
      <c r="C56" s="3" t="s">
        <v>88</v>
      </c>
      <c r="D56" s="3">
        <v>1</v>
      </c>
      <c r="E56" s="15">
        <v>75</v>
      </c>
      <c r="F56" s="15">
        <f>D56*E56</f>
        <v>75</v>
      </c>
    </row>
    <row r="57" spans="1:6" x14ac:dyDescent="0.25">
      <c r="A57" s="9" t="s">
        <v>16</v>
      </c>
      <c r="B57" s="9" t="s">
        <v>135</v>
      </c>
      <c r="C57" s="9" t="s">
        <v>16</v>
      </c>
      <c r="D57" s="9" t="s">
        <v>16</v>
      </c>
      <c r="E57" s="17" t="s">
        <v>16</v>
      </c>
      <c r="F57" s="17">
        <v>7226.8</v>
      </c>
    </row>
    <row r="58" spans="1:6" x14ac:dyDescent="0.25">
      <c r="A58" s="9" t="s">
        <v>16</v>
      </c>
      <c r="B58" s="9" t="s">
        <v>136</v>
      </c>
      <c r="C58" s="9" t="s">
        <v>16</v>
      </c>
      <c r="D58" s="9" t="s">
        <v>16</v>
      </c>
      <c r="E58" s="17" t="s">
        <v>16</v>
      </c>
      <c r="F58" s="17">
        <v>2529.38</v>
      </c>
    </row>
    <row r="59" spans="1:6" x14ac:dyDescent="0.25">
      <c r="A59" s="9" t="s">
        <v>16</v>
      </c>
      <c r="B59" s="9" t="s">
        <v>137</v>
      </c>
      <c r="C59" s="9" t="s">
        <v>16</v>
      </c>
      <c r="D59" s="9" t="s">
        <v>16</v>
      </c>
      <c r="E59" s="17" t="s">
        <v>16</v>
      </c>
      <c r="F59" s="17">
        <v>722.68</v>
      </c>
    </row>
    <row r="60" spans="1:6" x14ac:dyDescent="0.25">
      <c r="A60" s="9" t="s">
        <v>16</v>
      </c>
      <c r="B60" s="9" t="s">
        <v>138</v>
      </c>
      <c r="C60" s="9" t="s">
        <v>16</v>
      </c>
      <c r="D60" s="9" t="s">
        <v>16</v>
      </c>
      <c r="E60" s="17" t="s">
        <v>16</v>
      </c>
      <c r="F60" s="17">
        <v>487.81</v>
      </c>
    </row>
    <row r="61" spans="1:6" x14ac:dyDescent="0.25">
      <c r="A61" s="9" t="s">
        <v>16</v>
      </c>
      <c r="B61" s="9" t="s">
        <v>139</v>
      </c>
      <c r="C61" s="9" t="s">
        <v>16</v>
      </c>
      <c r="D61" s="9" t="s">
        <v>16</v>
      </c>
      <c r="E61" s="17" t="s">
        <v>16</v>
      </c>
      <c r="F61" s="17">
        <v>2303</v>
      </c>
    </row>
    <row r="62" spans="1:6" x14ac:dyDescent="0.25">
      <c r="A62" s="9" t="s">
        <v>16</v>
      </c>
      <c r="B62" s="9" t="s">
        <v>140</v>
      </c>
      <c r="C62" s="9" t="s">
        <v>16</v>
      </c>
      <c r="D62" s="9" t="s">
        <v>16</v>
      </c>
      <c r="E62" s="17" t="s">
        <v>16</v>
      </c>
      <c r="F62" s="17">
        <v>13269.67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IUG</vt:lpstr>
      <vt:lpstr>TUG</vt:lpstr>
      <vt:lpstr>TUE</vt:lpstr>
      <vt:lpstr>Cañerías</vt:lpstr>
      <vt:lpstr>Cómputo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</dc:creator>
  <dc:title/>
  <dc:subject/>
  <dc:description/>
  <cp:keywords/>
  <cp:category/>
  <cp:lastModifiedBy>Unknown</cp:lastModifiedBy>
  <dcterms:created xsi:type="dcterms:W3CDTF">2026-10-22T21:52:02Z</dcterms:created>
  <dcterms:modified xsi:type="dcterms:W3CDTF">2026-10-22T21:52:02Z</dcterms:modified>
</cp:coreProperties>
</file>