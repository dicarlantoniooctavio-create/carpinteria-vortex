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rcuitos y fases" state="visible" r:id="rId4"/>
    <sheet sheetId="2" name="Secciones de cables" state="visible" r:id="rId5"/>
    <sheet sheetId="3" name="Máquinas" state="visible" r:id="rId6"/>
    <sheet sheetId="4" name="Trifásicas 380 V" state="visible" r:id="rId7"/>
    <sheet sheetId="5" name="Superficie" state="visible" r:id="rId8"/>
    <sheet sheetId="6" name="Hoja del equipo" state="visible" r:id="rId9"/>
    <sheet sheetId="7" name="Cañerías" state="visible" r:id="rId10"/>
  </sheets>
  <calcPr calcId="171027"/>
</workbook>
</file>

<file path=xl/sharedStrings.xml><?xml version="1.0" encoding="utf-8"?>
<sst xmlns="http://schemas.openxmlformats.org/spreadsheetml/2006/main" count="299" uniqueCount="214">
  <si>
    <t>Proveedor 380 V (R, S, T y N) → Seccional Oficina → Seccional Máquinas</t>
  </si>
  <si>
    <t>Fase</t>
  </si>
  <si>
    <t>Circuito</t>
  </si>
  <si>
    <t>Tablero y qué alimenta</t>
  </si>
  <si>
    <t>Potencia (W)</t>
  </si>
  <si>
    <t>Consumo (A) = P / 220 V</t>
  </si>
  <si>
    <t>R</t>
  </si>
  <si>
    <t>TUG2</t>
  </si>
  <si>
    <t>Seccional Oficina: Tomas de la oficina · 5 tomas dobles (10 tomas)</t>
  </si>
  <si>
    <t>TUE1</t>
  </si>
  <si>
    <t>Seccional Máquinas: Compresor 2 + aire acondicionado · 4 tomas</t>
  </si>
  <si>
    <t>S</t>
  </si>
  <si>
    <t>IUG1</t>
  </si>
  <si>
    <t>Seccional Oficina: Negocio, oficina, cocina y baño · 10 bocas</t>
  </si>
  <si>
    <t>TUG1</t>
  </si>
  <si>
    <t>Seccional Oficina: Tomas del frente del taller · 2 tomas dobles (4 tomas) · mitad de las 3 herramientas más potentes</t>
  </si>
  <si>
    <t>IUG2</t>
  </si>
  <si>
    <t>Seccional Máquinas: Luces del taller · 10 bocas</t>
  </si>
  <si>
    <t>T</t>
  </si>
  <si>
    <t>IUG3</t>
  </si>
  <si>
    <t>TUG3</t>
  </si>
  <si>
    <t>Seccional Máquinas: Tomas del fondo del taller · 3 tomas dobles (6 tomas) · la otra mitad de las 3 herramientas más potentes</t>
  </si>
  <si>
    <t>Los siete circuitos son monofásicos: cada uno usa una fase y el neutro. Seccional Oficina: IUG1, TUG1 y TUG2. Seccional Máquinas: IUG2, IUG3, TUG3 y TUE1.</t>
  </si>
  <si>
    <t>Reparto equilibrado: R: TUG2 + TUE1 (23,47 A) · S: TUG1 + IUG1 + IUG2 (17,94 A) · T: TUG3 + IUG3 (16,82 A). Es la más pareja de las 2187 combinaciones posibles.</t>
  </si>
  <si>
    <t>Las máquinas de 380 V suman lo mismo en R, S y T (amperaje más alto de la placa).</t>
  </si>
  <si>
    <t>Total por fase</t>
  </si>
  <si>
    <t>Máquinas 380 V (A)</t>
  </si>
  <si>
    <t>Total por fase (A)</t>
  </si>
  <si>
    <t>TUG2 + TUE1</t>
  </si>
  <si>
    <t>IUG1 + TUG1 + IUG2</t>
  </si>
  <si>
    <t>IUG3 + TUG3</t>
  </si>
  <si>
    <t>Secciones de cables — consumo ≤ térmica ≤ lo que aguanta el cable</t>
  </si>
  <si>
    <t>Consumo (A)</t>
  </si>
  <si>
    <t>Por corriente alcanza</t>
  </si>
  <si>
    <t>Mínimo reglamento</t>
  </si>
  <si>
    <t>Térmica curva C (A)</t>
  </si>
  <si>
    <t>Sección elegida (mm²)</t>
  </si>
  <si>
    <t>Aguanta (A)</t>
  </si>
  <si>
    <t>Tierra PE (mm²)</t>
  </si>
  <si>
    <t>Largo (m)</t>
  </si>
  <si>
    <t>Caída de tensión (%)</t>
  </si>
  <si>
    <t>¿Cumple?</t>
  </si>
  <si>
    <t>En la hoja del equipo</t>
  </si>
  <si>
    <t>1 mm²</t>
  </si>
  <si>
    <t>1.5 mm²</t>
  </si>
  <si>
    <t>CADAcircuito: 1,12 A</t>
  </si>
  <si>
    <t>2.5 mm²</t>
  </si>
  <si>
    <t>Nota: 3 cargas más potentes = 6400 W &gt; 20 A → se parte con TUG3</t>
  </si>
  <si>
    <t>Nota: 2200 VA = 10 A (reglamento)</t>
  </si>
  <si>
    <t>CADAcircuito: 2,27 A</t>
  </si>
  <si>
    <t>Circuito nuevo: TUG1 pasaba de 20 A</t>
  </si>
  <si>
    <t>Nota: compresor chico + 1100 W de aire</t>
  </si>
  <si>
    <t>Seccional Oficina → Seccional Máquinas</t>
  </si>
  <si>
    <t>RST+N</t>
  </si>
  <si>
    <t>25 mm²</t>
  </si>
  <si>
    <t>4 mm²</t>
  </si>
  <si>
    <t>Sí</t>
  </si>
  <si>
    <t>Fase más cargada del Seccional Máquinas</t>
  </si>
  <si>
    <t>Alimentación</t>
  </si>
  <si>
    <t>Todo andando a la vez: circuitos + máquinas</t>
  </si>
  <si>
    <t>Corriente que aguanta el cable en caño: 1 mm² 9,6 A · 1,5 mm² 13 A · 2,5 mm² 18 A · 4 mm² 24 A · 6 mm² 31 A · 10 mm² 43 A · 16 mm² 59 A · 25 mm² 77 A · 35 mm² 96 A.</t>
  </si>
  <si>
    <t>Mínimos de la reglamentación (AEA 90364-7-771): iluminación 1,5 mm², tomas 2,5 mm², línea principal 4 mm². Tierra: nunca menos de 2,5 mm².</t>
  </si>
  <si>
    <t>Caída de tensión = 2 × 0,0178 × largo × consumo / sección, en % de 220 V (máximo 3 % en iluminación y 5 % en fuerza).</t>
  </si>
  <si>
    <t>IUG: en la hoja 1 mm² y térmica de 4 A. La cuenta está bien; solo se sube el cable a 1,5 mm² porque el reglamento lo pide para luces. La térmica de 4 A queda.</t>
  </si>
  <si>
    <t>Tomas del taller: 6400 W / 220 V = 29,09 A, más de los 20 A permitidos en un TUG. Se parten en TUG1 y TUG3: 3200 W = 14,55 A cada uno → térmica de 16 A y cable de 2,5 mm².</t>
  </si>
  <si>
    <t>TUG2: 2200 VA = 10 A → térmica de 16 A y cable de 2,5 mm². TUE1: 2964 W / 220 V = 13,47 A → térmica de 16 A y 2,5 mm².</t>
  </si>
  <si>
    <t>Alimentación y línea entre tableros: con todo andando a la vez (circuitos + máquinas).</t>
  </si>
  <si>
    <t>Herramientas y equipos de 220 V</t>
  </si>
  <si>
    <t>Máquina</t>
  </si>
  <si>
    <t>Sierra circular de banco</t>
  </si>
  <si>
    <t>TUG1 y TUG3</t>
  </si>
  <si>
    <t>S y T</t>
  </si>
  <si>
    <t>Fresadora de mano</t>
  </si>
  <si>
    <t>Cepilladora</t>
  </si>
  <si>
    <t>Sierra ingletadora</t>
  </si>
  <si>
    <t>Garlopa de banco</t>
  </si>
  <si>
    <t>Compresor 2 (monofásico)</t>
  </si>
  <si>
    <t>Aire acondicionado</t>
  </si>
  <si>
    <t>Potencias de la planilla "Herramientas de mano" (valor más alto de cada rango).</t>
  </si>
  <si>
    <t>TUG1 y TUG3: las 3 más potentes a la vez: 2200 + 2200 + 2000 = 6400 W → 29,09 A, repartidos mitad y mitad (14,55 A cada uno). TUE1: compresor 2 (1864 W) + aire acondicionado (1100 W) = 2964 W → 13,47 A.</t>
  </si>
  <si>
    <t>Máquinas trifásicas — Seccional Máquinas</t>
  </si>
  <si>
    <t/>
  </si>
  <si>
    <t>Se toma: amperaje más alto (A)</t>
  </si>
  <si>
    <t>HP</t>
  </si>
  <si>
    <t>rpm</t>
  </si>
  <si>
    <t>Placa</t>
  </si>
  <si>
    <t>cos φ × rend.</t>
  </si>
  <si>
    <t>Arranque ≈ 6 × I (A)</t>
  </si>
  <si>
    <t>Cable</t>
  </si>
  <si>
    <t>Guardamotor</t>
  </si>
  <si>
    <t>En la planilla</t>
  </si>
  <si>
    <t>M1</t>
  </si>
  <si>
    <t>Lijadora</t>
  </si>
  <si>
    <t>380 / 660 V · 7,89 / 4,54 A</t>
  </si>
  <si>
    <t>4 × 2,5 mm²</t>
  </si>
  <si>
    <t>6–10 A A</t>
  </si>
  <si>
    <t>Guardamotor 10 A</t>
  </si>
  <si>
    <t>M2</t>
  </si>
  <si>
    <t>Combinada</t>
  </si>
  <si>
    <t>380 / 660 V · 8,60 / 4,35 A</t>
  </si>
  <si>
    <t>M3</t>
  </si>
  <si>
    <t>Escuadradora</t>
  </si>
  <si>
    <t>220 / 380 V · 8,39 / 4,85 A</t>
  </si>
  <si>
    <t>Guardamotor 6 A</t>
  </si>
  <si>
    <t>M4</t>
  </si>
  <si>
    <t>Tupí</t>
  </si>
  <si>
    <t>220 / 380 V · 10 / 5,78 A</t>
  </si>
  <si>
    <t>M5</t>
  </si>
  <si>
    <t>Sierra sin fin</t>
  </si>
  <si>
    <t>220 / 380 V · 8,5 / 4,95 A</t>
  </si>
  <si>
    <t>M6</t>
  </si>
  <si>
    <t>Compresor 1</t>
  </si>
  <si>
    <t>220 / 380 V · 6,12 / 3,54 A</t>
  </si>
  <si>
    <t>4–6,3 A A</t>
  </si>
  <si>
    <t>De los dos amperajes de la placa se toma el más alto, como pidió el equipo.</t>
  </si>
  <si>
    <t>cos φ × rendimiento = P / (1,73 × 380 × I), con ese amperaje. Cable tetrapolar 4 × 2,5 mm² (aguanta 18 A). Toma industrial 3P+N+T 16 A por máquina.</t>
  </si>
  <si>
    <t>Guardamotor según la corriente tomada: 6–10 A para M1 a M5 y 4–6,3 A para el compresor 1.</t>
  </si>
  <si>
    <t>Las seis máquinas (por fase)</t>
  </si>
  <si>
    <t>Térmica 4P del grupo en el Seccional Máquinas (A)</t>
  </si>
  <si>
    <t>Línea Seccional Oficina → Seccional Máquinas</t>
  </si>
  <si>
    <t>4 × 35 mm², térmica 4P 80 A</t>
  </si>
  <si>
    <t>Cable a cada máquina</t>
  </si>
  <si>
    <t>4 × 2,5 mm² (aguanta 18 A)</t>
  </si>
  <si>
    <t>Superficie y grado de electrificación</t>
  </si>
  <si>
    <t>Lugar</t>
  </si>
  <si>
    <t>Ancho (m)</t>
  </si>
  <si>
    <t>Superficie (m²)</t>
  </si>
  <si>
    <t>Carpintería</t>
  </si>
  <si>
    <t>240 m²</t>
  </si>
  <si>
    <t>Negocio</t>
  </si>
  <si>
    <t>48 m²</t>
  </si>
  <si>
    <t>Baño</t>
  </si>
  <si>
    <t>6 m²</t>
  </si>
  <si>
    <t>Cocina</t>
  </si>
  <si>
    <t>Total</t>
  </si>
  <si>
    <t>Grado</t>
  </si>
  <si>
    <t>Grado de electrificación según la superficie total: mínimo hasta 60 m², medio hasta 130 m², elevado hasta 200 m², superior más de 200 m².</t>
  </si>
  <si>
    <t>Carpintería: 12 × 21 = 252 m² (en la planilla figuraba 240 m²). Total 312 m², coincide con el plano (12,30 × 25,30 m ≈ 311 m²).</t>
  </si>
  <si>
    <t>Transcripción de las hojas de cálculo del cuaderno</t>
  </si>
  <si>
    <t>Tema</t>
  </si>
  <si>
    <t>Lo que dice la hoja</t>
  </si>
  <si>
    <t>Revisión</t>
  </si>
  <si>
    <t>Iluminación (audio)</t>
  </si>
  <si>
    <t>Potencia de la lámpara × cantidad de lámparas / 220 V (las lámparas son monofásicas)</t>
  </si>
  <si>
    <t>Cálculo de la primera versión. Ahora los amperajes salen de la planilla CADAcircuito (IUG1 a IUG3)</t>
  </si>
  <si>
    <t>Lámparas negocio</t>
  </si>
  <si>
    <t>4 lámparas blancas tipo panel LED 4000 K, 40 W</t>
  </si>
  <si>
    <t>IUG1: 4 × 40 W = 160 W → 0,73 A</t>
  </si>
  <si>
    <t>Oficina, baño y cocina</t>
  </si>
  <si>
    <t>Oficina: igual a la del negocio. Baño y cocina: LED de 12 V, 12 W, 1100 lm</t>
  </si>
  <si>
    <t>En la versión final las 4 lámparas de IUG1 cubren negocio, oficina, baño y cocina</t>
  </si>
  <si>
    <t>IUG negocio, cocina, baño y oficina</t>
  </si>
  <si>
    <t>4 × 40 W = 160 W / 220 V = 0,72 A. 1 mm² soporta 9,6 A</t>
  </si>
  <si>
    <t>Bien. Se sube a 1,5 mm² por mínimo de reglamento; la térmica de 4 A sigue sirviendo</t>
  </si>
  <si>
    <t>Campana industrial IP65, 100 W, 9000 lúmenes, 6500 K (luz fría)</t>
  </si>
  <si>
    <t>—</t>
  </si>
  <si>
    <t>IUG2, IUG3 e IUG4</t>
  </si>
  <si>
    <t>5 × 100 W / 220 V = 2,27 A (los tres iguales)</t>
  </si>
  <si>
    <t>Bien. En la versión actual quedan IUG2 e IUG3, con 2,27 A cada uno</t>
  </si>
  <si>
    <t>TUG (hoja y audio)</t>
  </si>
  <si>
    <t>Hoja: 3600 W / 220 V = 16,36 A, 4 mm² (anotado "soporta 18 A"). Audio: 3600 W → 2,5 mm²</t>
  </si>
  <si>
    <t>Por corriente alcanza 2,5 mm² (18 A), pero no hay térmica entre 16,36 y 18 A: térmica de 20 A y cable de 4 mm²</t>
  </si>
  <si>
    <t>TUE (hoja y audio)</t>
  </si>
  <si>
    <t>2200 W / 220 V = 10 A → cable de 1,5 mm² (soporta 13 A)</t>
  </si>
  <si>
    <t>Bien por corriente. Con térmica de 16 A y mínimo de reglamento: 2,5 mm²</t>
  </si>
  <si>
    <t>Máquinas</t>
  </si>
  <si>
    <t>Sierra de banco 2200 W (10 A, TUE) · Cepilladora 1900 W (8,6 A, TUG; en la hoja 3 se lee 8,81 A) · Ingletadora 1600 W (7,27 A, TUG) · Garlopa 1500 W (6,81 A, TUG) · Fresadora 1400 W (6,36 A, TUG)</t>
  </si>
  <si>
    <t>Cepilladora: 1900 / 220 = 8,64 A, coincide con los 8,6 A de la hoja 1</t>
  </si>
  <si>
    <t>Simultaneidad (audio)</t>
  </si>
  <si>
    <t>Son dos personas: dos máquinas como mucho a la vez. Se suman los dos amperajes más altos: 10 A + 8,6 A = 18,6 A → 4 mm² (25 A)</t>
  </si>
  <si>
    <t>Bien: sierra de banco 10 A + cepilladora 8,64 A = 18,64 A</t>
  </si>
  <si>
    <t>Unifilar</t>
  </si>
  <si>
    <t>IUG1 a IUG4: In = 4 A curva C · TUG1: In = 16 A curva C · TUE1: In ilegible, curva C</t>
  </si>
  <si>
    <t>IUG 4 A: bien. Con los datos nuevos TUG1, TUG2, TUG3 y TUE1 van de 16 A</t>
  </si>
  <si>
    <t>Cadena de fases</t>
  </si>
  <si>
    <t>Proveedor 380 V → R, S, T y N → Seccional Oficina (IUG1, TUG1, TUG2) → Seccional Máquinas (IUG2, IUG3, TUG3, TUE1 y máquinas)</t>
  </si>
  <si>
    <t>R: TUG2 + TUE1 · S: TUG1 + IUG1 + IUG2 · T: TUG3 + IUG3</t>
  </si>
  <si>
    <t>Máquinas trifásicas (planilla)</t>
  </si>
  <si>
    <t>Lijadora 3000 W 7,89 A · Combinada 4528 W 8,60 A · Escuadradora 2554 W 4,85 A · Tupí 2200 W 5,78 A · Sierra sin fin 2200 W 4,95 A · Compresor 1 1864 W 3,54 A (a 380 V). Cable 2,5 mm²</t>
  </si>
  <si>
    <t>Bien. Se usa la corriente a 380 V de la placa</t>
  </si>
  <si>
    <t>Consume 3,54 A: el de 6 A (regula de 4 a 6,3 A) no baja hasta 3,54 A. Va guardamotor de 2,5 a 4 A</t>
  </si>
  <si>
    <t>Guardamotores</t>
  </si>
  <si>
    <t>Curva C</t>
  </si>
  <si>
    <t>Los guardamotores no tienen curva: se regulan a la corriente del motor</t>
  </si>
  <si>
    <t>6,2 HP · 4528 W</t>
  </si>
  <si>
    <t>6,2 HP son 4625 W; 4528 W son 6,07 HP. Diferencia chica, se deja 4528 W</t>
  </si>
  <si>
    <t>Compresor 2</t>
  </si>
  <si>
    <t>220 V · 8,47 A (1864 W)</t>
  </si>
  <si>
    <t>Va dentro de TUE1, junto con el aire acondicionado (nota del equipo)</t>
  </si>
  <si>
    <t>Superficie (planilla)</t>
  </si>
  <si>
    <t>Carpintería 12 × 21 m = 240 m² · Negocio 48 m² · Baño 6 m² · Cocina 6 m². Grado superior</t>
  </si>
  <si>
    <t>12 × 21 = 252 m², no 240. Total 312 m², grado superior (más de 200 m²)</t>
  </si>
  <si>
    <t>Planilla CADAcircuito</t>
  </si>
  <si>
    <t>IUG1 1,12 A · IUG2 e IUG3 2,27 A · TUG1 y TUE1 "leer nota" · TUG2 10 A</t>
  </si>
  <si>
    <t>Tomas del taller = 6400 W / 220 V = 29,09 A → más de 20 A: se parte en TUG1 y TUG3 (3200 W, 14,55 A cada uno) · TUE1 = 2964 W / 220 V = 13,47 A</t>
  </si>
  <si>
    <t>Tableros</t>
  </si>
  <si>
    <t>Seccional Oficina (recibe las fases del proveedor) y Seccional Máquinas (en el taller)</t>
  </si>
  <si>
    <t>En el Seccional Oficina: IUG1, TUG1 y TUG2. En el Seccional Máquinas: IUG2, IUG3, TUG3, TUE1 y las térmicas de las máquinas</t>
  </si>
  <si>
    <t>Cañerías — caño de acero semipesado (ocupación máxima 35 %)</t>
  </si>
  <si>
    <t>Tramo</t>
  </si>
  <si>
    <t>Cables</t>
  </si>
  <si>
    <t>Sección (mm²)</t>
  </si>
  <si>
    <t>Ø cable (mm)</t>
  </si>
  <si>
    <t>Caño</t>
  </si>
  <si>
    <t>Ø interior (mm)</t>
  </si>
  <si>
    <t>Ocupación (%)</t>
  </si>
  <si>
    <t>Seccional Oficina → negocio y oficinas</t>
  </si>
  <si>
    <t>3 (F + N + PE)</t>
  </si>
  <si>
    <t>CL16 (5/8")</t>
  </si>
  <si>
    <t>Seccional Oficina → tomas del frente del taller</t>
  </si>
  <si>
    <t>Medidor → Seccional Oficina</t>
  </si>
  <si>
    <t>5 (R + S + T + N + PE)</t>
  </si>
  <si>
    <t>CL51 (2")</t>
  </si>
  <si>
    <t>Ocupación = suma de las secciones de los cables / sección interior del caño. Diámetros aproximados de catálogo.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</si>
</sst>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0B4A7F"/>
      <sz val="14"/>
    </font>
    <font>
      <b/>
      <color rgb="FFFFFFFF"/>
    </font>
    <font>
      <i/>
      <color rgb="FF5B6B7B"/>
      <sz val="9"/>
    </font>
    <font>
      <b/>
      <color rgb="FF0B4A7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B4A7F"/>
      </patternFill>
    </fill>
    <fill>
      <patternFill patternType="solid">
        <fgColor rgb="FFF3F6FA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2" fontId="5" fillId="0" borderId="0" xfId="0" applyNumberFormat="1" applyFont="1"/>
    <xf numFmtId="0" fontId="0" fillId="4" borderId="1" xfId="0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2" fontId="0" fillId="0" borderId="0" xfId="0" applyNumberFormat="1"/>
    <xf numFmtId="1" fontId="0" fillId="0" borderId="1" xfId="0" applyNumberFormat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64" customWidth="1"/>
    <col min="4" max="4" width="12" customWidth="1"/>
    <col min="5" max="5" width="13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3" ht="32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6</v>
      </c>
      <c r="B4" s="3" t="s">
        <v>7</v>
      </c>
      <c r="C4" s="3" t="s">
        <v>8</v>
      </c>
      <c r="D4" s="4">
        <v>2200</v>
      </c>
      <c r="E4" s="5">
        <f>D4/220</f>
        <v>10</v>
      </c>
    </row>
    <row r="5" spans="1:5" x14ac:dyDescent="0.25">
      <c r="A5" s="6" t="s">
        <v>6</v>
      </c>
      <c r="B5" s="6" t="s">
        <v>9</v>
      </c>
      <c r="C5" s="6" t="s">
        <v>10</v>
      </c>
      <c r="D5" s="7">
        <v>2964</v>
      </c>
      <c r="E5" s="8">
        <f>D5/220</f>
        <v>13.47</v>
      </c>
    </row>
    <row r="6" spans="1:5" x14ac:dyDescent="0.25">
      <c r="A6" s="3" t="s">
        <v>11</v>
      </c>
      <c r="B6" s="3" t="s">
        <v>12</v>
      </c>
      <c r="C6" s="3" t="s">
        <v>13</v>
      </c>
      <c r="D6" s="4">
        <v>246</v>
      </c>
      <c r="E6" s="5">
        <f>D6/220</f>
        <v>1.12</v>
      </c>
    </row>
    <row r="7" spans="1:5" x14ac:dyDescent="0.25">
      <c r="A7" s="6" t="s">
        <v>11</v>
      </c>
      <c r="B7" s="6" t="s">
        <v>14</v>
      </c>
      <c r="C7" s="6" t="s">
        <v>15</v>
      </c>
      <c r="D7" s="7">
        <v>3200</v>
      </c>
      <c r="E7" s="8">
        <f>D7/220</f>
        <v>14.55</v>
      </c>
    </row>
    <row r="8" spans="1:5" x14ac:dyDescent="0.25">
      <c r="A8" s="3" t="s">
        <v>11</v>
      </c>
      <c r="B8" s="3" t="s">
        <v>16</v>
      </c>
      <c r="C8" s="3" t="s">
        <v>17</v>
      </c>
      <c r="D8" s="4">
        <v>499</v>
      </c>
      <c r="E8" s="5">
        <f>D8/220</f>
        <v>2.27</v>
      </c>
    </row>
    <row r="9" spans="1:5" x14ac:dyDescent="0.25">
      <c r="A9" s="6" t="s">
        <v>18</v>
      </c>
      <c r="B9" s="6" t="s">
        <v>19</v>
      </c>
      <c r="C9" s="6" t="s">
        <v>17</v>
      </c>
      <c r="D9" s="7">
        <v>499</v>
      </c>
      <c r="E9" s="8">
        <f>D9/220</f>
        <v>2.27</v>
      </c>
    </row>
    <row r="10" spans="1:5" x14ac:dyDescent="0.25">
      <c r="A10" s="3" t="s">
        <v>18</v>
      </c>
      <c r="B10" s="3" t="s">
        <v>20</v>
      </c>
      <c r="C10" s="3" t="s">
        <v>21</v>
      </c>
      <c r="D10" s="4">
        <v>3200</v>
      </c>
      <c r="E10" s="5">
        <f>D10/220</f>
        <v>14.55</v>
      </c>
    </row>
    <row r="12" spans="1:1" x14ac:dyDescent="0.25">
      <c r="A12" s="9" t="s">
        <v>22</v>
      </c>
    </row>
    <row r="13" spans="1:1" x14ac:dyDescent="0.25">
      <c r="A13" s="9" t="s">
        <v>23</v>
      </c>
    </row>
    <row r="14" spans="1:1" x14ac:dyDescent="0.25">
      <c r="A14" s="9" t="s">
        <v>24</v>
      </c>
    </row>
    <row r="16" spans="1:7" x14ac:dyDescent="0.25">
      <c r="A16" s="10" t="s">
        <v>25</v>
      </c>
      <c r="F16" s="10" t="s">
        <v>26</v>
      </c>
      <c r="G16" s="10" t="s">
        <v>27</v>
      </c>
    </row>
    <row r="17" spans="1:7" x14ac:dyDescent="0.25">
      <c r="A17" s="11" t="s">
        <v>6</v>
      </c>
      <c r="B17" s="11" t="s">
        <v>28</v>
      </c>
      <c r="D17" s="12">
        <f>SUMIF($A$4:$A$10,"R",$D$4:$D$10)</f>
        <v>10613</v>
      </c>
      <c r="E17" s="13">
        <f>SUMIF($A$4:$A$10,"R",$E$4:$E$10)</f>
        <v>72.97</v>
      </c>
      <c r="F17" s="13">
        <f>'Trifásicas 380 V'!$C$14</f>
        <v>49.5</v>
      </c>
      <c r="G17" s="13">
        <f>E17+F17</f>
        <v>72.97</v>
      </c>
    </row>
    <row r="18" spans="1:7" x14ac:dyDescent="0.25">
      <c r="A18" s="11" t="s">
        <v>11</v>
      </c>
      <c r="B18" s="11" t="s">
        <v>29</v>
      </c>
      <c r="D18" s="12">
        <f>SUMIF($A$4:$A$10,"S",$D$4:$D$10)</f>
        <v>9394</v>
      </c>
      <c r="E18" s="13">
        <f>SUMIF($A$4:$A$10,"S",$E$4:$E$10)</f>
        <v>67.44</v>
      </c>
      <c r="F18" s="13">
        <f>'Trifásicas 380 V'!$C$14</f>
        <v>49.5</v>
      </c>
      <c r="G18" s="13">
        <f>E18+F18</f>
        <v>67.44</v>
      </c>
    </row>
    <row r="19" spans="1:7" x14ac:dyDescent="0.25">
      <c r="A19" s="11" t="s">
        <v>18</v>
      </c>
      <c r="B19" s="11" t="s">
        <v>30</v>
      </c>
      <c r="D19" s="12">
        <f>SUMIF($A$4:$A$10,"T",$D$4:$D$10)</f>
        <v>9148</v>
      </c>
      <c r="E19" s="13">
        <f>SUMIF($A$4:$A$10,"T",$E$4:$E$10)</f>
        <v>66.32</v>
      </c>
      <c r="F19" s="13">
        <f>'Trifásicas 380 V'!$C$14</f>
        <v>49.5</v>
      </c>
      <c r="G19" s="13">
        <f>E19+F19</f>
        <v>66.32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11" customWidth="1"/>
    <col min="4" max="4" width="13" customWidth="1"/>
    <col min="5" max="7" width="12" customWidth="1"/>
    <col min="8" max="9" width="10" customWidth="1"/>
    <col min="11" max="11" width="11" customWidth="1"/>
    <col min="13" max="13" width="30" customWidth="1"/>
  </cols>
  <sheetData>
    <row r="1" ht="24" customHeight="1" spans="1:13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32" customHeight="1" spans="1:13" x14ac:dyDescent="0.25">
      <c r="A3" s="2" t="s">
        <v>2</v>
      </c>
      <c r="B3" s="2" t="s">
        <v>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</row>
    <row r="4" spans="1:13" x14ac:dyDescent="0.25">
      <c r="A4" s="3" t="s">
        <v>12</v>
      </c>
      <c r="B4" s="3" t="s">
        <v>11</v>
      </c>
      <c r="C4" s="5">
        <v>1.12</v>
      </c>
      <c r="D4" s="3" t="s">
        <v>43</v>
      </c>
      <c r="E4" s="3" t="s">
        <v>44</v>
      </c>
      <c r="F4" s="3">
        <v>4</v>
      </c>
      <c r="G4" s="3">
        <v>1.5</v>
      </c>
      <c r="H4" s="3">
        <v>13</v>
      </c>
      <c r="I4" s="3">
        <v>2.5</v>
      </c>
      <c r="J4" s="3">
        <v>18</v>
      </c>
      <c r="K4" s="5">
        <f>ROUND(100*2*0.0178*J4*C4/G4/220,2)</f>
        <v>0.22</v>
      </c>
      <c r="L4" s="14" t="str">
        <f>IF(AND(C4&lt;=F4,F4&lt;=H4),"Sí","No")</f>
        <v>Sí</v>
      </c>
      <c r="M4" s="3" t="s">
        <v>45</v>
      </c>
    </row>
    <row r="5" spans="1:13" x14ac:dyDescent="0.25">
      <c r="A5" s="6" t="s">
        <v>14</v>
      </c>
      <c r="B5" s="6" t="s">
        <v>11</v>
      </c>
      <c r="C5" s="8">
        <v>14.55</v>
      </c>
      <c r="D5" s="6" t="s">
        <v>46</v>
      </c>
      <c r="E5" s="6" t="s">
        <v>46</v>
      </c>
      <c r="F5" s="6">
        <v>16</v>
      </c>
      <c r="G5" s="6">
        <v>2.5</v>
      </c>
      <c r="H5" s="6">
        <v>18</v>
      </c>
      <c r="I5" s="6">
        <v>2.5</v>
      </c>
      <c r="J5" s="6">
        <v>12</v>
      </c>
      <c r="K5" s="8">
        <f>ROUND(100*2*0.0178*J5*C5/G5/220,2)</f>
        <v>1.13</v>
      </c>
      <c r="L5" s="14" t="str">
        <f>IF(AND(C5&lt;=F5,F5&lt;=H5),"Sí","No")</f>
        <v>Sí</v>
      </c>
      <c r="M5" s="6" t="s">
        <v>47</v>
      </c>
    </row>
    <row r="6" spans="1:13" x14ac:dyDescent="0.25">
      <c r="A6" s="3" t="s">
        <v>7</v>
      </c>
      <c r="B6" s="3" t="s">
        <v>6</v>
      </c>
      <c r="C6" s="5">
        <v>10</v>
      </c>
      <c r="D6" s="3" t="s">
        <v>44</v>
      </c>
      <c r="E6" s="3" t="s">
        <v>46</v>
      </c>
      <c r="F6" s="3">
        <v>16</v>
      </c>
      <c r="G6" s="3">
        <v>2.5</v>
      </c>
      <c r="H6" s="3">
        <v>18</v>
      </c>
      <c r="I6" s="3">
        <v>2.5</v>
      </c>
      <c r="J6" s="3">
        <v>12</v>
      </c>
      <c r="K6" s="5">
        <f>ROUND(100*2*0.0178*J6*C6/G6/220,2)</f>
        <v>0.78</v>
      </c>
      <c r="L6" s="14" t="str">
        <f>IF(AND(C6&lt;=F6,F6&lt;=H6),"Sí","No")</f>
        <v>Sí</v>
      </c>
      <c r="M6" s="3" t="s">
        <v>48</v>
      </c>
    </row>
    <row r="7" spans="1:13" x14ac:dyDescent="0.25">
      <c r="A7" s="6" t="s">
        <v>16</v>
      </c>
      <c r="B7" s="6" t="s">
        <v>11</v>
      </c>
      <c r="C7" s="8">
        <v>2.27</v>
      </c>
      <c r="D7" s="6" t="s">
        <v>43</v>
      </c>
      <c r="E7" s="6" t="s">
        <v>44</v>
      </c>
      <c r="F7" s="6">
        <v>4</v>
      </c>
      <c r="G7" s="6">
        <v>1.5</v>
      </c>
      <c r="H7" s="6">
        <v>13</v>
      </c>
      <c r="I7" s="6">
        <v>2.5</v>
      </c>
      <c r="J7" s="6">
        <v>28</v>
      </c>
      <c r="K7" s="8">
        <f>ROUND(100*2*0.0178*J7*C7/G7/220,2)</f>
        <v>0.69</v>
      </c>
      <c r="L7" s="14" t="str">
        <f>IF(AND(C7&lt;=F7,F7&lt;=H7),"Sí","No")</f>
        <v>Sí</v>
      </c>
      <c r="M7" s="6" t="s">
        <v>49</v>
      </c>
    </row>
    <row r="8" spans="1:13" x14ac:dyDescent="0.25">
      <c r="A8" s="3" t="s">
        <v>19</v>
      </c>
      <c r="B8" s="3" t="s">
        <v>18</v>
      </c>
      <c r="C8" s="5">
        <v>2.27</v>
      </c>
      <c r="D8" s="3" t="s">
        <v>43</v>
      </c>
      <c r="E8" s="3" t="s">
        <v>44</v>
      </c>
      <c r="F8" s="3">
        <v>4</v>
      </c>
      <c r="G8" s="3">
        <v>1.5</v>
      </c>
      <c r="H8" s="3">
        <v>13</v>
      </c>
      <c r="I8" s="3">
        <v>2.5</v>
      </c>
      <c r="J8" s="3">
        <v>30</v>
      </c>
      <c r="K8" s="5">
        <f>ROUND(100*2*0.0178*J8*C8/G8/220,2)</f>
        <v>0.74</v>
      </c>
      <c r="L8" s="14" t="str">
        <f>IF(AND(C8&lt;=F8,F8&lt;=H8),"Sí","No")</f>
        <v>Sí</v>
      </c>
      <c r="M8" s="3" t="s">
        <v>49</v>
      </c>
    </row>
    <row r="9" spans="1:13" x14ac:dyDescent="0.25">
      <c r="A9" s="6" t="s">
        <v>20</v>
      </c>
      <c r="B9" s="6" t="s">
        <v>18</v>
      </c>
      <c r="C9" s="8">
        <v>14.55</v>
      </c>
      <c r="D9" s="6" t="s">
        <v>46</v>
      </c>
      <c r="E9" s="6" t="s">
        <v>46</v>
      </c>
      <c r="F9" s="6">
        <v>16</v>
      </c>
      <c r="G9" s="6">
        <v>2.5</v>
      </c>
      <c r="H9" s="6">
        <v>18</v>
      </c>
      <c r="I9" s="6">
        <v>2.5</v>
      </c>
      <c r="J9" s="6">
        <v>16</v>
      </c>
      <c r="K9" s="8">
        <f>ROUND(100*2*0.0178*J9*C9/G9/220,2)</f>
        <v>1.51</v>
      </c>
      <c r="L9" s="14" t="str">
        <f>IF(AND(C9&lt;=F9,F9&lt;=H9),"Sí","No")</f>
        <v>Sí</v>
      </c>
      <c r="M9" s="6" t="s">
        <v>50</v>
      </c>
    </row>
    <row r="10" spans="1:13" x14ac:dyDescent="0.25">
      <c r="A10" s="3" t="s">
        <v>9</v>
      </c>
      <c r="B10" s="3" t="s">
        <v>6</v>
      </c>
      <c r="C10" s="5">
        <v>13.47</v>
      </c>
      <c r="D10" s="3" t="s">
        <v>46</v>
      </c>
      <c r="E10" s="3" t="s">
        <v>46</v>
      </c>
      <c r="F10" s="3">
        <v>16</v>
      </c>
      <c r="G10" s="3">
        <v>2.5</v>
      </c>
      <c r="H10" s="3">
        <v>18</v>
      </c>
      <c r="I10" s="3">
        <v>2.5</v>
      </c>
      <c r="J10" s="3">
        <v>18</v>
      </c>
      <c r="K10" s="5">
        <f>ROUND(100*2*0.0178*J10*C10/G10/220,2)</f>
        <v>1.57</v>
      </c>
      <c r="L10" s="14" t="str">
        <f>IF(AND(C10&lt;=F10,F10&lt;=H10),"Sí","No")</f>
        <v>Sí</v>
      </c>
      <c r="M10" s="3" t="s">
        <v>51</v>
      </c>
    </row>
    <row r="11" spans="1:13" x14ac:dyDescent="0.25">
      <c r="A11" s="6" t="s">
        <v>52</v>
      </c>
      <c r="B11" s="6" t="s">
        <v>53</v>
      </c>
      <c r="C11" s="8">
        <v>66.32</v>
      </c>
      <c r="D11" s="6" t="s">
        <v>54</v>
      </c>
      <c r="E11" s="6" t="s">
        <v>55</v>
      </c>
      <c r="F11" s="6">
        <v>80</v>
      </c>
      <c r="G11" s="6">
        <v>35</v>
      </c>
      <c r="H11" s="6">
        <v>96</v>
      </c>
      <c r="I11" s="6">
        <v>16</v>
      </c>
      <c r="J11" s="6">
        <v>20</v>
      </c>
      <c r="K11" s="8"/>
      <c r="L11" s="6" t="s">
        <v>56</v>
      </c>
      <c r="M11" s="6" t="s">
        <v>57</v>
      </c>
    </row>
    <row r="12" spans="1:13" x14ac:dyDescent="0.25">
      <c r="A12" s="3" t="s">
        <v>58</v>
      </c>
      <c r="B12" s="3" t="s">
        <v>53</v>
      </c>
      <c r="C12" s="5">
        <v>72.97</v>
      </c>
      <c r="D12" s="3" t="s">
        <v>54</v>
      </c>
      <c r="E12" s="3" t="s">
        <v>55</v>
      </c>
      <c r="F12" s="3">
        <v>80</v>
      </c>
      <c r="G12" s="3">
        <v>35</v>
      </c>
      <c r="H12" s="3">
        <v>96</v>
      </c>
      <c r="I12" s="3">
        <v>16</v>
      </c>
      <c r="J12" s="3">
        <v>8</v>
      </c>
      <c r="K12" s="5"/>
      <c r="L12" s="3" t="s">
        <v>56</v>
      </c>
      <c r="M12" s="3" t="s">
        <v>59</v>
      </c>
    </row>
    <row r="14" spans="1:1" x14ac:dyDescent="0.25">
      <c r="A14" s="9" t="s">
        <v>60</v>
      </c>
    </row>
    <row r="15" spans="1:1" x14ac:dyDescent="0.25">
      <c r="A15" s="9" t="s">
        <v>61</v>
      </c>
    </row>
    <row r="16" spans="1:1" x14ac:dyDescent="0.25">
      <c r="A16" s="9" t="s">
        <v>62</v>
      </c>
    </row>
    <row r="17" spans="1:1" x14ac:dyDescent="0.25">
      <c r="A17" s="9" t="s">
        <v>63</v>
      </c>
    </row>
    <row r="18" spans="1:1" x14ac:dyDescent="0.25">
      <c r="A18" s="9" t="s">
        <v>64</v>
      </c>
    </row>
    <row r="19" spans="1:1" x14ac:dyDescent="0.25">
      <c r="A19" s="9" t="s">
        <v>65</v>
      </c>
    </row>
    <row r="20" spans="1:1" x14ac:dyDescent="0.25">
      <c r="A20" s="9" t="s">
        <v>66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2" customWidth="1"/>
    <col min="4" max="4" width="10" customWidth="1"/>
    <col min="5" max="5" width="7" customWidth="1"/>
  </cols>
  <sheetData>
    <row r="1" ht="24" customHeight="1" spans="1:5" x14ac:dyDescent="0.25">
      <c r="A1" s="1" t="s">
        <v>67</v>
      </c>
      <c r="B1" s="1"/>
      <c r="C1" s="1"/>
      <c r="D1" s="1"/>
      <c r="E1" s="1"/>
    </row>
    <row r="3" ht="32" customHeight="1" spans="1:5" x14ac:dyDescent="0.25">
      <c r="A3" s="2" t="s">
        <v>68</v>
      </c>
      <c r="B3" s="2" t="s">
        <v>4</v>
      </c>
      <c r="C3" s="2" t="s">
        <v>32</v>
      </c>
      <c r="D3" s="2" t="s">
        <v>2</v>
      </c>
      <c r="E3" s="2" t="s">
        <v>1</v>
      </c>
    </row>
    <row r="4" spans="1:5" x14ac:dyDescent="0.25">
      <c r="A4" s="3" t="s">
        <v>69</v>
      </c>
      <c r="B4" s="4">
        <v>2200</v>
      </c>
      <c r="C4" s="5">
        <f>B4/220</f>
        <v>10</v>
      </c>
      <c r="D4" s="3" t="s">
        <v>70</v>
      </c>
      <c r="E4" s="3" t="s">
        <v>71</v>
      </c>
    </row>
    <row r="5" spans="1:5" x14ac:dyDescent="0.25">
      <c r="A5" s="6" t="s">
        <v>72</v>
      </c>
      <c r="B5" s="7">
        <v>2200</v>
      </c>
      <c r="C5" s="8">
        <f>B5/220</f>
        <v>10</v>
      </c>
      <c r="D5" s="6" t="s">
        <v>70</v>
      </c>
      <c r="E5" s="6" t="s">
        <v>71</v>
      </c>
    </row>
    <row r="6" spans="1:5" x14ac:dyDescent="0.25">
      <c r="A6" s="3" t="s">
        <v>73</v>
      </c>
      <c r="B6" s="4">
        <v>2000</v>
      </c>
      <c r="C6" s="5">
        <f>B6/220</f>
        <v>9.09</v>
      </c>
      <c r="D6" s="3" t="s">
        <v>70</v>
      </c>
      <c r="E6" s="3" t="s">
        <v>71</v>
      </c>
    </row>
    <row r="7" spans="1:5" x14ac:dyDescent="0.25">
      <c r="A7" s="6" t="s">
        <v>74</v>
      </c>
      <c r="B7" s="7">
        <v>2000</v>
      </c>
      <c r="C7" s="8">
        <f>B7/220</f>
        <v>9.09</v>
      </c>
      <c r="D7" s="6" t="s">
        <v>70</v>
      </c>
      <c r="E7" s="6" t="s">
        <v>71</v>
      </c>
    </row>
    <row r="8" spans="1:5" x14ac:dyDescent="0.25">
      <c r="A8" s="3" t="s">
        <v>75</v>
      </c>
      <c r="B8" s="4">
        <v>1500</v>
      </c>
      <c r="C8" s="5">
        <f>B8/220</f>
        <v>6.82</v>
      </c>
      <c r="D8" s="3" t="s">
        <v>70</v>
      </c>
      <c r="E8" s="3" t="s">
        <v>71</v>
      </c>
    </row>
    <row r="9" spans="1:5" x14ac:dyDescent="0.25">
      <c r="A9" s="6" t="s">
        <v>76</v>
      </c>
      <c r="B9" s="7">
        <v>1864</v>
      </c>
      <c r="C9" s="8">
        <f>B9/220</f>
        <v>8.47</v>
      </c>
      <c r="D9" s="6" t="s">
        <v>9</v>
      </c>
      <c r="E9" s="6" t="s">
        <v>6</v>
      </c>
    </row>
    <row r="10" spans="1:5" x14ac:dyDescent="0.25">
      <c r="A10" s="3" t="s">
        <v>77</v>
      </c>
      <c r="B10" s="4">
        <v>1100</v>
      </c>
      <c r="C10" s="5">
        <f>B10/220</f>
        <v>5</v>
      </c>
      <c r="D10" s="3" t="s">
        <v>9</v>
      </c>
      <c r="E10" s="3" t="s">
        <v>6</v>
      </c>
    </row>
    <row r="12" spans="1:1" x14ac:dyDescent="0.25">
      <c r="A12" s="9" t="s">
        <v>78</v>
      </c>
    </row>
    <row r="13" spans="1:1" x14ac:dyDescent="0.25">
      <c r="A13" s="9" t="s">
        <v>79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13" customWidth="1"/>
    <col min="4" max="4" width="12" customWidth="1"/>
    <col min="5" max="5" width="7" customWidth="1"/>
    <col min="6" max="6" width="8" customWidth="1"/>
    <col min="7" max="7" width="26" customWidth="1"/>
    <col min="8" max="8" width="11" customWidth="1"/>
    <col min="9" max="11" width="12" customWidth="1"/>
    <col min="12" max="12" width="16" customWidth="1"/>
  </cols>
  <sheetData>
    <row r="1" ht="24" customHeight="1" spans="1:12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2" customHeight="1" spans="1:12" x14ac:dyDescent="0.25">
      <c r="A3" s="2" t="s">
        <v>81</v>
      </c>
      <c r="B3" s="2" t="s">
        <v>68</v>
      </c>
      <c r="C3" s="2" t="s">
        <v>82</v>
      </c>
      <c r="D3" s="2" t="s">
        <v>4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spans="1:12" x14ac:dyDescent="0.25">
      <c r="A4" s="3" t="s">
        <v>91</v>
      </c>
      <c r="B4" s="3" t="s">
        <v>92</v>
      </c>
      <c r="C4" s="5">
        <v>7.89</v>
      </c>
      <c r="D4" s="4">
        <v>3000</v>
      </c>
      <c r="E4" s="15">
        <v>4</v>
      </c>
      <c r="F4" s="3">
        <v>2840</v>
      </c>
      <c r="G4" s="3" t="s">
        <v>93</v>
      </c>
      <c r="H4" s="5">
        <f>ROUND(D4/(SQRT(3)*380*C4),2)</f>
        <v>0.58</v>
      </c>
      <c r="I4" s="15">
        <f>6*C4</f>
        <v>47.3</v>
      </c>
      <c r="J4" s="3" t="s">
        <v>94</v>
      </c>
      <c r="K4" s="3" t="s">
        <v>95</v>
      </c>
      <c r="L4" s="3" t="s">
        <v>96</v>
      </c>
    </row>
    <row r="5" spans="1:12" x14ac:dyDescent="0.25">
      <c r="A5" s="6" t="s">
        <v>97</v>
      </c>
      <c r="B5" s="6" t="s">
        <v>98</v>
      </c>
      <c r="C5" s="8">
        <v>8.6</v>
      </c>
      <c r="D5" s="7">
        <v>4528</v>
      </c>
      <c r="E5" s="16">
        <v>6.2</v>
      </c>
      <c r="F5" s="6">
        <v>1430</v>
      </c>
      <c r="G5" s="6" t="s">
        <v>99</v>
      </c>
      <c r="H5" s="8">
        <f>ROUND(D5/(SQRT(3)*380*C5),2)</f>
        <v>0.8</v>
      </c>
      <c r="I5" s="16">
        <f>6*C5</f>
        <v>51.6</v>
      </c>
      <c r="J5" s="6" t="s">
        <v>94</v>
      </c>
      <c r="K5" s="6" t="s">
        <v>95</v>
      </c>
      <c r="L5" s="6" t="s">
        <v>96</v>
      </c>
    </row>
    <row r="6" spans="1:12" x14ac:dyDescent="0.25">
      <c r="A6" s="3" t="s">
        <v>100</v>
      </c>
      <c r="B6" s="3" t="s">
        <v>101</v>
      </c>
      <c r="C6" s="5">
        <v>8.39</v>
      </c>
      <c r="D6" s="4">
        <v>2554</v>
      </c>
      <c r="E6" s="15">
        <v>3.5</v>
      </c>
      <c r="F6" s="3">
        <v>2772</v>
      </c>
      <c r="G6" s="3" t="s">
        <v>102</v>
      </c>
      <c r="H6" s="5">
        <f>ROUND(D6/(SQRT(3)*380*C6),2)</f>
        <v>0.46</v>
      </c>
      <c r="I6" s="15">
        <f>6*C6</f>
        <v>50.3</v>
      </c>
      <c r="J6" s="3" t="s">
        <v>94</v>
      </c>
      <c r="K6" s="3" t="s">
        <v>95</v>
      </c>
      <c r="L6" s="3" t="s">
        <v>103</v>
      </c>
    </row>
    <row r="7" spans="1:12" x14ac:dyDescent="0.25">
      <c r="A7" s="6" t="s">
        <v>104</v>
      </c>
      <c r="B7" s="6" t="s">
        <v>105</v>
      </c>
      <c r="C7" s="8">
        <v>10</v>
      </c>
      <c r="D7" s="7">
        <v>2200</v>
      </c>
      <c r="E7" s="16">
        <v>3</v>
      </c>
      <c r="F7" s="6">
        <v>2850</v>
      </c>
      <c r="G7" s="6" t="s">
        <v>106</v>
      </c>
      <c r="H7" s="8">
        <f>ROUND(D7/(SQRT(3)*380*C7),2)</f>
        <v>0.33</v>
      </c>
      <c r="I7" s="16">
        <f>6*C7</f>
        <v>60</v>
      </c>
      <c r="J7" s="6" t="s">
        <v>94</v>
      </c>
      <c r="K7" s="6" t="s">
        <v>95</v>
      </c>
      <c r="L7" s="6" t="s">
        <v>103</v>
      </c>
    </row>
    <row r="8" spans="1:12" x14ac:dyDescent="0.25">
      <c r="A8" s="3" t="s">
        <v>107</v>
      </c>
      <c r="B8" s="3" t="s">
        <v>108</v>
      </c>
      <c r="C8" s="5">
        <v>8.5</v>
      </c>
      <c r="D8" s="4">
        <v>2200</v>
      </c>
      <c r="E8" s="15">
        <v>3</v>
      </c>
      <c r="F8" s="3">
        <v>1395</v>
      </c>
      <c r="G8" s="3" t="s">
        <v>109</v>
      </c>
      <c r="H8" s="5">
        <f>ROUND(D8/(SQRT(3)*380*C8),2)</f>
        <v>0.39</v>
      </c>
      <c r="I8" s="15">
        <f>6*C8</f>
        <v>51</v>
      </c>
      <c r="J8" s="3" t="s">
        <v>94</v>
      </c>
      <c r="K8" s="3" t="s">
        <v>95</v>
      </c>
      <c r="L8" s="3" t="s">
        <v>103</v>
      </c>
    </row>
    <row r="9" spans="1:12" x14ac:dyDescent="0.25">
      <c r="A9" s="6" t="s">
        <v>110</v>
      </c>
      <c r="B9" s="6" t="s">
        <v>111</v>
      </c>
      <c r="C9" s="8">
        <v>6.12</v>
      </c>
      <c r="D9" s="7">
        <v>1864</v>
      </c>
      <c r="E9" s="16">
        <v>2.5</v>
      </c>
      <c r="F9" s="6">
        <v>2800</v>
      </c>
      <c r="G9" s="6" t="s">
        <v>112</v>
      </c>
      <c r="H9" s="8">
        <f>ROUND(D9/(SQRT(3)*380*C9),2)</f>
        <v>0.46</v>
      </c>
      <c r="I9" s="16">
        <f>6*C9</f>
        <v>36.7</v>
      </c>
      <c r="J9" s="6" t="s">
        <v>94</v>
      </c>
      <c r="K9" s="6" t="s">
        <v>113</v>
      </c>
      <c r="L9" s="6" t="s">
        <v>103</v>
      </c>
    </row>
    <row r="11" spans="1:1" x14ac:dyDescent="0.25">
      <c r="A11" s="9" t="s">
        <v>114</v>
      </c>
    </row>
    <row r="12" spans="1:1" x14ac:dyDescent="0.25">
      <c r="A12" s="9" t="s">
        <v>115</v>
      </c>
    </row>
    <row r="13" spans="1:1" x14ac:dyDescent="0.25">
      <c r="A13" s="9" t="s">
        <v>116</v>
      </c>
    </row>
    <row r="14" spans="2:3" x14ac:dyDescent="0.25">
      <c r="B14" s="11" t="s">
        <v>117</v>
      </c>
      <c r="C14" s="17">
        <f>SUM(C4:C9)</f>
        <v>49.5</v>
      </c>
    </row>
    <row r="15" spans="2:3" x14ac:dyDescent="0.25">
      <c r="B15" s="11" t="s">
        <v>118</v>
      </c>
      <c r="C15" s="17">
        <v>50</v>
      </c>
    </row>
    <row r="16" spans="2:3" x14ac:dyDescent="0.25">
      <c r="B16" s="11" t="s">
        <v>119</v>
      </c>
      <c r="C16" s="17" t="s">
        <v>120</v>
      </c>
    </row>
    <row r="17" spans="2:3" x14ac:dyDescent="0.25">
      <c r="B17" s="11" t="s">
        <v>121</v>
      </c>
      <c r="C17" s="17" t="s">
        <v>122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</cols>
  <sheetData>
    <row r="1" ht="24" customHeight="1" spans="1:5" x14ac:dyDescent="0.25">
      <c r="A1" s="1" t="s">
        <v>123</v>
      </c>
      <c r="B1" s="1"/>
      <c r="C1" s="1"/>
      <c r="D1" s="1"/>
      <c r="E1" s="1"/>
    </row>
    <row r="3" ht="32" customHeight="1" spans="1:5" x14ac:dyDescent="0.25">
      <c r="A3" s="2" t="s">
        <v>124</v>
      </c>
      <c r="B3" s="2" t="s">
        <v>39</v>
      </c>
      <c r="C3" s="2" t="s">
        <v>125</v>
      </c>
      <c r="D3" s="2" t="s">
        <v>126</v>
      </c>
      <c r="E3" s="2" t="s">
        <v>90</v>
      </c>
    </row>
    <row r="4" spans="1:5" x14ac:dyDescent="0.25">
      <c r="A4" s="3" t="s">
        <v>127</v>
      </c>
      <c r="B4" s="3">
        <v>12</v>
      </c>
      <c r="C4" s="3">
        <v>21</v>
      </c>
      <c r="D4" s="18">
        <f>B4*C4</f>
        <v>252</v>
      </c>
      <c r="E4" s="3" t="s">
        <v>128</v>
      </c>
    </row>
    <row r="5" spans="1:5" x14ac:dyDescent="0.25">
      <c r="A5" s="6" t="s">
        <v>129</v>
      </c>
      <c r="B5" s="6">
        <v>12</v>
      </c>
      <c r="C5" s="6">
        <v>4</v>
      </c>
      <c r="D5" s="19">
        <f>B5*C5</f>
        <v>48</v>
      </c>
      <c r="E5" s="6" t="s">
        <v>130</v>
      </c>
    </row>
    <row r="6" spans="1:5" x14ac:dyDescent="0.25">
      <c r="A6" s="3" t="s">
        <v>131</v>
      </c>
      <c r="B6" s="3">
        <v>3</v>
      </c>
      <c r="C6" s="3">
        <v>2</v>
      </c>
      <c r="D6" s="18">
        <f>B6*C6</f>
        <v>6</v>
      </c>
      <c r="E6" s="3" t="s">
        <v>132</v>
      </c>
    </row>
    <row r="7" spans="1:5" x14ac:dyDescent="0.25">
      <c r="A7" s="6" t="s">
        <v>133</v>
      </c>
      <c r="B7" s="6">
        <v>3</v>
      </c>
      <c r="C7" s="6">
        <v>2</v>
      </c>
      <c r="D7" s="19">
        <f>B7*C7</f>
        <v>6</v>
      </c>
      <c r="E7" s="6" t="s">
        <v>132</v>
      </c>
    </row>
    <row r="8" spans="1:5" x14ac:dyDescent="0.25">
      <c r="A8" s="20" t="s">
        <v>134</v>
      </c>
      <c r="B8" s="3"/>
      <c r="C8" s="3"/>
      <c r="D8" s="21">
        <f>SUM(D4:D7)</f>
        <v>312</v>
      </c>
      <c r="E8" s="3" t="s">
        <v>81</v>
      </c>
    </row>
    <row r="9" spans="1:4" x14ac:dyDescent="0.25">
      <c r="A9" s="11" t="s">
        <v>135</v>
      </c>
      <c r="D9" s="11" t="str">
        <f>IF(D8&gt;200,"Superior",IF(D8&gt;130,"Elevado",IF(D8&gt;60,"Medio","Mínimo")))</f>
        <v>Superior</v>
      </c>
    </row>
    <row r="10" spans="1:1" x14ac:dyDescent="0.25">
      <c r="A10" s="9" t="s">
        <v>136</v>
      </c>
    </row>
    <row r="11" spans="1:1" x14ac:dyDescent="0.25">
      <c r="A11" s="9" t="s">
        <v>137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6" customWidth="1"/>
    <col min="3" max="3" width="50" customWidth="1"/>
  </cols>
  <sheetData>
    <row r="1" ht="24" customHeight="1" spans="1:3" x14ac:dyDescent="0.25">
      <c r="A1" s="1" t="s">
        <v>138</v>
      </c>
      <c r="B1" s="1"/>
      <c r="C1" s="1"/>
    </row>
    <row r="3" ht="32" customHeight="1" spans="1:3" x14ac:dyDescent="0.25">
      <c r="A3" s="2" t="s">
        <v>139</v>
      </c>
      <c r="B3" s="2" t="s">
        <v>140</v>
      </c>
      <c r="C3" s="2" t="s">
        <v>141</v>
      </c>
    </row>
    <row r="4" spans="1:3" x14ac:dyDescent="0.25">
      <c r="A4" s="3" t="s">
        <v>142</v>
      </c>
      <c r="B4" s="3" t="s">
        <v>143</v>
      </c>
      <c r="C4" s="3" t="s">
        <v>144</v>
      </c>
    </row>
    <row r="5" spans="1:3" x14ac:dyDescent="0.25">
      <c r="A5" s="6" t="s">
        <v>145</v>
      </c>
      <c r="B5" s="6" t="s">
        <v>146</v>
      </c>
      <c r="C5" s="6" t="s">
        <v>147</v>
      </c>
    </row>
    <row r="6" spans="1:3" x14ac:dyDescent="0.25">
      <c r="A6" s="3" t="s">
        <v>148</v>
      </c>
      <c r="B6" s="3" t="s">
        <v>149</v>
      </c>
      <c r="C6" s="3" t="s">
        <v>150</v>
      </c>
    </row>
    <row r="7" spans="1:3" x14ac:dyDescent="0.25">
      <c r="A7" s="6" t="s">
        <v>151</v>
      </c>
      <c r="B7" s="6" t="s">
        <v>152</v>
      </c>
      <c r="C7" s="6" t="s">
        <v>153</v>
      </c>
    </row>
    <row r="8" spans="1:3" x14ac:dyDescent="0.25">
      <c r="A8" s="3" t="s">
        <v>127</v>
      </c>
      <c r="B8" s="3" t="s">
        <v>154</v>
      </c>
      <c r="C8" s="3" t="s">
        <v>155</v>
      </c>
    </row>
    <row r="9" spans="1:3" x14ac:dyDescent="0.25">
      <c r="A9" s="6" t="s">
        <v>156</v>
      </c>
      <c r="B9" s="6" t="s">
        <v>157</v>
      </c>
      <c r="C9" s="6" t="s">
        <v>158</v>
      </c>
    </row>
    <row r="10" spans="1:3" x14ac:dyDescent="0.25">
      <c r="A10" s="3" t="s">
        <v>159</v>
      </c>
      <c r="B10" s="3" t="s">
        <v>160</v>
      </c>
      <c r="C10" s="3" t="s">
        <v>161</v>
      </c>
    </row>
    <row r="11" spans="1:3" x14ac:dyDescent="0.25">
      <c r="A11" s="6" t="s">
        <v>162</v>
      </c>
      <c r="B11" s="6" t="s">
        <v>163</v>
      </c>
      <c r="C11" s="6" t="s">
        <v>164</v>
      </c>
    </row>
    <row r="12" spans="1:3" x14ac:dyDescent="0.25">
      <c r="A12" s="3" t="s">
        <v>165</v>
      </c>
      <c r="B12" s="3" t="s">
        <v>166</v>
      </c>
      <c r="C12" s="3" t="s">
        <v>167</v>
      </c>
    </row>
    <row r="13" spans="1:3" x14ac:dyDescent="0.25">
      <c r="A13" s="6" t="s">
        <v>168</v>
      </c>
      <c r="B13" s="6" t="s">
        <v>169</v>
      </c>
      <c r="C13" s="6" t="s">
        <v>170</v>
      </c>
    </row>
    <row r="14" spans="1:3" x14ac:dyDescent="0.25">
      <c r="A14" s="3" t="s">
        <v>171</v>
      </c>
      <c r="B14" s="3" t="s">
        <v>172</v>
      </c>
      <c r="C14" s="3" t="s">
        <v>173</v>
      </c>
    </row>
    <row r="15" spans="1:3" x14ac:dyDescent="0.25">
      <c r="A15" s="6" t="s">
        <v>174</v>
      </c>
      <c r="B15" s="6" t="s">
        <v>175</v>
      </c>
      <c r="C15" s="6" t="s">
        <v>176</v>
      </c>
    </row>
    <row r="16" spans="1:3" x14ac:dyDescent="0.25">
      <c r="A16" s="3" t="s">
        <v>177</v>
      </c>
      <c r="B16" s="3" t="s">
        <v>178</v>
      </c>
      <c r="C16" s="3" t="s">
        <v>179</v>
      </c>
    </row>
    <row r="17" spans="1:3" x14ac:dyDescent="0.25">
      <c r="A17" s="6" t="s">
        <v>111</v>
      </c>
      <c r="B17" s="6" t="s">
        <v>103</v>
      </c>
      <c r="C17" s="6" t="s">
        <v>180</v>
      </c>
    </row>
    <row r="18" spans="1:3" x14ac:dyDescent="0.25">
      <c r="A18" s="3" t="s">
        <v>181</v>
      </c>
      <c r="B18" s="3" t="s">
        <v>182</v>
      </c>
      <c r="C18" s="3" t="s">
        <v>183</v>
      </c>
    </row>
    <row r="19" spans="1:3" x14ac:dyDescent="0.25">
      <c r="A19" s="6" t="s">
        <v>98</v>
      </c>
      <c r="B19" s="6" t="s">
        <v>184</v>
      </c>
      <c r="C19" s="6" t="s">
        <v>185</v>
      </c>
    </row>
    <row r="20" spans="1:3" x14ac:dyDescent="0.25">
      <c r="A20" s="3" t="s">
        <v>186</v>
      </c>
      <c r="B20" s="3" t="s">
        <v>187</v>
      </c>
      <c r="C20" s="3" t="s">
        <v>188</v>
      </c>
    </row>
    <row r="21" spans="1:3" x14ac:dyDescent="0.25">
      <c r="A21" s="6" t="s">
        <v>189</v>
      </c>
      <c r="B21" s="6" t="s">
        <v>190</v>
      </c>
      <c r="C21" s="6" t="s">
        <v>191</v>
      </c>
    </row>
    <row r="22" spans="1:3" x14ac:dyDescent="0.25">
      <c r="A22" s="3" t="s">
        <v>192</v>
      </c>
      <c r="B22" s="3" t="s">
        <v>193</v>
      </c>
      <c r="C22" s="3" t="s">
        <v>194</v>
      </c>
    </row>
    <row r="23" spans="1:3" x14ac:dyDescent="0.25">
      <c r="A23" s="6" t="s">
        <v>195</v>
      </c>
      <c r="B23" s="6" t="s">
        <v>196</v>
      </c>
      <c r="C23" s="6" t="s">
        <v>197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22" customWidth="1"/>
    <col min="4" max="5" width="11" customWidth="1"/>
    <col min="6" max="6" width="14" customWidth="1"/>
    <col min="7" max="8" width="12" customWidth="1"/>
  </cols>
  <sheetData>
    <row r="1" ht="24" customHeight="1" spans="1:8" x14ac:dyDescent="0.25">
      <c r="A1" s="1" t="s">
        <v>198</v>
      </c>
      <c r="B1" s="1"/>
      <c r="C1" s="1"/>
      <c r="D1" s="1"/>
      <c r="E1" s="1"/>
      <c r="F1" s="1"/>
      <c r="G1" s="1"/>
      <c r="H1" s="1"/>
    </row>
    <row r="3" ht="32" customHeight="1" spans="1:8" x14ac:dyDescent="0.25">
      <c r="A3" s="2" t="s">
        <v>199</v>
      </c>
      <c r="B3" s="2" t="s">
        <v>2</v>
      </c>
      <c r="C3" s="2" t="s">
        <v>200</v>
      </c>
      <c r="D3" s="2" t="s">
        <v>201</v>
      </c>
      <c r="E3" s="2" t="s">
        <v>202</v>
      </c>
      <c r="F3" s="2" t="s">
        <v>203</v>
      </c>
      <c r="G3" s="2" t="s">
        <v>204</v>
      </c>
      <c r="H3" s="2" t="s">
        <v>205</v>
      </c>
    </row>
    <row r="4" spans="1:8" x14ac:dyDescent="0.25">
      <c r="A4" s="3" t="s">
        <v>206</v>
      </c>
      <c r="B4" s="3" t="s">
        <v>12</v>
      </c>
      <c r="C4" s="3" t="s">
        <v>207</v>
      </c>
      <c r="D4" s="3">
        <v>1.5</v>
      </c>
      <c r="E4" s="15">
        <v>3.3</v>
      </c>
      <c r="F4" s="3" t="s">
        <v>208</v>
      </c>
      <c r="G4" s="15">
        <v>12.5</v>
      </c>
      <c r="H4" s="15">
        <v>20.9</v>
      </c>
    </row>
    <row r="5" spans="1:8" x14ac:dyDescent="0.25">
      <c r="A5" s="6" t="s">
        <v>209</v>
      </c>
      <c r="B5" s="6" t="s">
        <v>14</v>
      </c>
      <c r="C5" s="6" t="s">
        <v>207</v>
      </c>
      <c r="D5" s="6">
        <v>2.5</v>
      </c>
      <c r="E5" s="16">
        <v>3.8</v>
      </c>
      <c r="F5" s="6" t="s">
        <v>208</v>
      </c>
      <c r="G5" s="16">
        <v>12.5</v>
      </c>
      <c r="H5" s="16">
        <v>27.7</v>
      </c>
    </row>
    <row r="6" spans="1:8" x14ac:dyDescent="0.25">
      <c r="A6" s="3" t="s">
        <v>210</v>
      </c>
      <c r="B6" s="3" t="s">
        <v>58</v>
      </c>
      <c r="C6" s="3" t="s">
        <v>211</v>
      </c>
      <c r="D6" s="3">
        <v>35</v>
      </c>
      <c r="E6" s="15">
        <v>10.9</v>
      </c>
      <c r="F6" s="3" t="s">
        <v>212</v>
      </c>
      <c r="G6" s="15">
        <v>45</v>
      </c>
      <c r="H6" s="15">
        <v>29.3</v>
      </c>
    </row>
    <row r="8" spans="1:1" x14ac:dyDescent="0.25">
      <c r="A8" s="9" t="s">
        <v>213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Circuitos y fases</vt:lpstr>
      <vt:lpstr>Secciones de cables</vt:lpstr>
      <vt:lpstr>Máquinas</vt:lpstr>
      <vt:lpstr>Trifásicas 380 V</vt:lpstr>
      <vt:lpstr>Superficie</vt:lpstr>
      <vt:lpstr>Hoja del equipo</vt:lpstr>
      <vt:lpstr>Cañerías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</dc:creator>
  <dc:title/>
  <dc:subject/>
  <dc:description/>
  <cp:keywords/>
  <cp:category/>
  <cp:lastModifiedBy>Unknown</cp:lastModifiedBy>
  <dcterms:created xsi:type="dcterms:W3CDTF">2026-10-20T23:45:34Z</dcterms:created>
  <dcterms:modified xsi:type="dcterms:W3CDTF">2026-10-20T23:45:34Z</dcterms:modified>
</cp:coreProperties>
</file>