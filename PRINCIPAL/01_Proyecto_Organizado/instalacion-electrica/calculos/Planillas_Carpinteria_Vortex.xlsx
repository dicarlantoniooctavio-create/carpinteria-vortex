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UG" state="visible" r:id="rId4"/>
    <sheet sheetId="2" name="TUG" state="visible" r:id="rId5"/>
    <sheet sheetId="3" name="TUE" state="visible" r:id="rId6"/>
    <sheet sheetId="4" name="Cañerías" state="visible" r:id="rId7"/>
    <sheet sheetId="5" name="Cómputo" state="visible" r:id="rId8"/>
  </sheets>
  <calcPr calcId="171027"/>
</workbook>
</file>

<file path=xl/sharedStrings.xml><?xml version="1.0" encoding="utf-8"?>
<sst xmlns="http://schemas.openxmlformats.org/spreadsheetml/2006/main" count="307" uniqueCount="143">
  <si>
    <t>Iluminación de uso general (IUG) — 220 V</t>
  </si>
  <si>
    <t>Circuito</t>
  </si>
  <si>
    <t>Ambiente</t>
  </si>
  <si>
    <t>Tipo de lámpara</t>
  </si>
  <si>
    <t>Cantidad</t>
  </si>
  <si>
    <t>Potencia (W)</t>
  </si>
  <si>
    <t>Lúmenes</t>
  </si>
  <si>
    <t>Consumo (A)</t>
  </si>
  <si>
    <t>IUG1</t>
  </si>
  <si>
    <t>Carpintería</t>
  </si>
  <si>
    <t>Campana LED IP65 100 W</t>
  </si>
  <si>
    <t>Negocio</t>
  </si>
  <si>
    <t>Panel LED 40 W 4000 K</t>
  </si>
  <si>
    <t>Oficina, baño y cocina</t>
  </si>
  <si>
    <t>LED 12 W</t>
  </si>
  <si>
    <t>IUG2</t>
  </si>
  <si>
    <t>Corte y maquinaria</t>
  </si>
  <si>
    <t>IUG3</t>
  </si>
  <si>
    <t>Bancos y ensamblado</t>
  </si>
  <si>
    <t>IUG4</t>
  </si>
  <si>
    <t>Lijado</t>
  </si>
  <si>
    <t>Acabado</t>
  </si>
  <si>
    <t>Campana LED antideflagrante 100 W</t>
  </si>
  <si>
    <t>Total del circuito</t>
  </si>
  <si>
    <t/>
  </si>
  <si>
    <t>Consumo = potencia / 220 V. Campanas calculadas a 100 W; lúmenes del modelo de 50 W (9000 lm). Paneles de 40 W: 3600 lm aprox. de catálogo.</t>
  </si>
  <si>
    <t>Tomacorrientes de uso general (TUG) — 220 V</t>
  </si>
  <si>
    <t>Carga</t>
  </si>
  <si>
    <t>Tipo de carga</t>
  </si>
  <si>
    <t>TUG1</t>
  </si>
  <si>
    <t>Cepilladora</t>
  </si>
  <si>
    <t>Herramienta 220 V</t>
  </si>
  <si>
    <t>Sierra ingletadora</t>
  </si>
  <si>
    <t>Cepillo garlopa</t>
  </si>
  <si>
    <t>Fresadora</t>
  </si>
  <si>
    <t>Uso simultáneo</t>
  </si>
  <si>
    <t>Dos herramientas a la vez (ingletadora + garlopa)</t>
  </si>
  <si>
    <t>Tomacorriente de uso especial (TUE) — 220 V</t>
  </si>
  <si>
    <t>TUE1</t>
  </si>
  <si>
    <t>Sierra de banco</t>
  </si>
  <si>
    <t>Máquina 220 V</t>
  </si>
  <si>
    <t>Sierra de banco + reserva para otra máquina</t>
  </si>
  <si>
    <t>Cañerías — caño de acero semipesado (ocupación máxima 35 %)</t>
  </si>
  <si>
    <t>Tramo</t>
  </si>
  <si>
    <t>Conductores</t>
  </si>
  <si>
    <t>Sección (mm²)</t>
  </si>
  <si>
    <t>Ø cable (mm)</t>
  </si>
  <si>
    <t>Caño</t>
  </si>
  <si>
    <t>Ø interior caño (mm)</t>
  </si>
  <si>
    <t>Ocupación (%)</t>
  </si>
  <si>
    <t>TS-GEN → negocio y oficina</t>
  </si>
  <si>
    <t>3 (F + N + PE)</t>
  </si>
  <si>
    <t>CL16 (5/8")</t>
  </si>
  <si>
    <t>TS-GEN → taller (bajada común)</t>
  </si>
  <si>
    <t>IUG2 + IUG3</t>
  </si>
  <si>
    <t>5 (2 F + 2 N + PE)</t>
  </si>
  <si>
    <t>CL19 (3/4")</t>
  </si>
  <si>
    <t>TS-GEN → lijado y acabado</t>
  </si>
  <si>
    <t>TS-GEN → tomas generales</t>
  </si>
  <si>
    <t>TS-GEN → toma especial</t>
  </si>
  <si>
    <t>TP → TS-GEN</t>
  </si>
  <si>
    <t>Alimentación</t>
  </si>
  <si>
    <t>5 (3 F + N + PE)</t>
  </si>
  <si>
    <t>CL25 (1")</t>
  </si>
  <si>
    <t>Medidor → TP</t>
  </si>
  <si>
    <t>Acometida</t>
  </si>
  <si>
    <t>CL32 (1 1/4")</t>
  </si>
  <si>
    <t>Ocupación = suma de las secciones de los cables / sección interior del caño. Diámetros aproximados de catálogo: verificar con el fabricante.</t>
  </si>
  <si>
    <t>Cómputo de materiales y presupuesto (precios de referencia, USD)</t>
  </si>
  <si>
    <t>Rubro</t>
  </si>
  <si>
    <t>Material</t>
  </si>
  <si>
    <t>Unidad</t>
  </si>
  <si>
    <t>Precio unit. (USD)</t>
  </si>
  <si>
    <t>Subtotal (USD)</t>
  </si>
  <si>
    <t>Cable unipolar IRAM NM 247-3 2,5 mm² (L, N, PE)</t>
  </si>
  <si>
    <t>m</t>
  </si>
  <si>
    <t>Cable unipolar IRAM NM 247-3 4 mm²</t>
  </si>
  <si>
    <t>Cable unipolar IRAM NM 247-3 6 mm² (TS-GEN + PE)</t>
  </si>
  <si>
    <t>Cable unipolar IRAM NM 247-3 10 mm² (acometida + PAT)</t>
  </si>
  <si>
    <t>Cable tetrapolar IRAM 2178 4×2,5 mm² (motores)</t>
  </si>
  <si>
    <t>Cable tetrapolar IRAM 2178 4×6 mm² (TP → TS-FM)</t>
  </si>
  <si>
    <t>Canalizaciones</t>
  </si>
  <si>
    <t>Caño semipesado RS19 (3/4") × 3 m</t>
  </si>
  <si>
    <t>u</t>
  </si>
  <si>
    <t>Caño semipesado RS25 (1") × 3 m</t>
  </si>
  <si>
    <t>Caño semipesado RS32 (1 1/4") × 3 m</t>
  </si>
  <si>
    <t>Bandeja perforada 150×50 mm × 3 m (galv.)</t>
  </si>
  <si>
    <t>Curvas, uniones y soportes de bandeja</t>
  </si>
  <si>
    <t>gl</t>
  </si>
  <si>
    <t>Cajas octogonales / rectangulares / de paso + accesorios</t>
  </si>
  <si>
    <t>Tableros</t>
  </si>
  <si>
    <t>Gabinete metálico IP65 600×400 (TP)</t>
  </si>
  <si>
    <t>Gabinete metálico IP65 800×600 (TS-FM)</t>
  </si>
  <si>
    <t>Gabinete estanco IP65 36 módulos (TS-GEN)</t>
  </si>
  <si>
    <t>Rieles DIN, borneras, peines, barra PE y señalización</t>
  </si>
  <si>
    <t>Protecciones</t>
  </si>
  <si>
    <t>Seccionador bajo carga 4P 63 A</t>
  </si>
  <si>
    <t>IGA termomagnético 4P 40 A curva C 6 kA + bobina MN</t>
  </si>
  <si>
    <t>Termomagnético 4P 32 A curva C (salida TS-FM)</t>
  </si>
  <si>
    <t>Termomagnético 4P 25 A curva C (salida TS-GEN)</t>
  </si>
  <si>
    <t>Diferencial 4P 40 A 30 mA clase A (TS-FM)</t>
  </si>
  <si>
    <t>Diferencial 2P 25 A 30 mA clase AC (TS-GEN)</t>
  </si>
  <si>
    <t>Termomagnético 2P curva C 14/16 A (IUG1-4, TUG1)</t>
  </si>
  <si>
    <t>Termomagnético 2P curva C 20 A (TUE1)</t>
  </si>
  <si>
    <t>Termomagnético 2P 6 A curva C (circuito de mando)</t>
  </si>
  <si>
    <t>Descargador de sobretensión clase II 4P</t>
  </si>
  <si>
    <t>Maniobra</t>
  </si>
  <si>
    <t>Guardamotor GV2ME14 (6–10 A)</t>
  </si>
  <si>
    <t>Guardamotor GV2ME08 (2,5–4 A)</t>
  </si>
  <si>
    <t>Contactor LC1D12 bobina 220 V</t>
  </si>
  <si>
    <t>Contactor LC1D09 bobina 220 V</t>
  </si>
  <si>
    <t>Relé térmico 2,5–4,0 A (F1, lijadora)</t>
  </si>
  <si>
    <t>Pulsadores marcha (NA verde) / paro (NC rojo)</t>
  </si>
  <si>
    <t>par</t>
  </si>
  <si>
    <t>Pulsador de emergencia tipo seta Ø40 enclavable</t>
  </si>
  <si>
    <t>Pilotos LED 220 V (marcha / falla)</t>
  </si>
  <si>
    <t>Tomas</t>
  </si>
  <si>
    <t>Toma industrial 3P+N+T 16 A IEC 60309 IP67</t>
  </si>
  <si>
    <t>Toma doble estanca IP54 10 A con tapa</t>
  </si>
  <si>
    <t>Bajada aérea retráctil 220 V reforzada</t>
  </si>
  <si>
    <t>Toma 20 A 2P+T (TUE)</t>
  </si>
  <si>
    <t>Iluminación</t>
  </si>
  <si>
    <t>Campana LED industrial IP65 100 W (versión 50 W/9000 lm opcional)</t>
  </si>
  <si>
    <t>Luminaria LED antideflagrante (zona de acabado)</t>
  </si>
  <si>
    <t>Panel LED 40 W 4000 K (negocio y oficina)</t>
  </si>
  <si>
    <t>Luminaria LED 12 W 1100 lm (baño y cocina)</t>
  </si>
  <si>
    <t>Llaves de efecto y bocas de iluminación</t>
  </si>
  <si>
    <t>Puesta a tierra</t>
  </si>
  <si>
    <t>Jabalina Cu-acero 5/8" × 2,40 m + tomacable + cámara de inspección</t>
  </si>
  <si>
    <t>Lijadora de banda</t>
  </si>
  <si>
    <t>Motor trifásico 1,5 kW 2850 rpm IP55 (B3)</t>
  </si>
  <si>
    <t>Banda abrasiva de tela (grano 80/120)</t>
  </si>
  <si>
    <t>Ruedas / tambores mecanizados (pzas. 8 y 9)</t>
  </si>
  <si>
    <t>Ejes acero SAE 1045 (pzas. 10 y 11)</t>
  </si>
  <si>
    <t>Rodamientos 6205-2RS + soportes UCP205</t>
  </si>
  <si>
    <t>Estructura: pedestales, travesaños, soporte motor y chapas (pzas. 1–7, 12, 13)</t>
  </si>
  <si>
    <t>Tornillería, pintura epoxi y resguardos</t>
  </si>
  <si>
    <t>Materiales</t>
  </si>
  <si>
    <t>Mano de obra (35 %)</t>
  </si>
  <si>
    <t>Ingeniería (10 %)</t>
  </si>
  <si>
    <t>Imprevistos (5 %)</t>
  </si>
  <si>
    <t>IVA 21 %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</si>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</sst>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color theme="1"/>
      <family val="2"/>
      <scheme val="minor"/>
      <sz val="11"/>
      <name val="Calibri"/>
    </font>
    <font>
      <b/>
      <color rgb="FF0B4A7F"/>
      <sz val="14"/>
    </font>
    <font>
      <b/>
      <color rgb="FFFFFFFF"/>
    </font>
    <font>
      <b/>
    </font>
    <font>
      <i/>
      <color rgb="FF5B6B7B"/>
      <sz val="9"/>
    </font>
  </fonts>
  <fills count="5">
    <fill>
      <patternFill patternType="none"/>
    </fill>
    <fill>
      <patternFill patternType="gray125"/>
    </fill>
    <fill>
      <patternFill patternType="solid">
        <fgColor rgb="FF0B4A7F"/>
      </patternFill>
    </fill>
    <fill>
      <patternFill patternType="solid">
        <fgColor rgb="FFF3F6FA"/>
      </patternFill>
    </fill>
    <fill>
      <patternFill patternType="solid">
        <fgColor rgb="FFFFF1D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CE3EB"/>
      </bottom>
      <diagonal/>
    </border>
    <border>
      <left/>
      <right/>
      <top style="thin">
        <color rgb="FFE8A33D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0" fontId="0" fillId="3" borderId="1" xfId="0" applyFill="1" applyBorder="1"/>
    <xf numFmtId="3" fontId="0" fillId="3" borderId="1" xfId="0" applyNumberFormat="1" applyFill="1" applyBorder="1"/>
    <xf numFmtId="2" fontId="0" fillId="3" borderId="1" xfId="0" applyNumberFormat="1" applyFill="1" applyBorder="1"/>
    <xf numFmtId="0" fontId="3" fillId="4" borderId="2" xfId="0" applyFont="1" applyFill="1" applyBorder="1"/>
    <xf numFmtId="3" fontId="3" fillId="4" borderId="2" xfId="0" applyNumberFormat="1" applyFont="1" applyFill="1" applyBorder="1"/>
    <xf numFmtId="2" fontId="3" fillId="4" borderId="2" xfId="0" applyNumberFormat="1" applyFont="1" applyFill="1" applyBorder="1"/>
    <xf numFmtId="0" fontId="4" fillId="0" borderId="0" xfId="0" applyFont="1"/>
    <xf numFmtId="164" fontId="0" fillId="0" borderId="1" xfId="0" applyNumberFormat="1" applyBorder="1"/>
    <xf numFmtId="164" fontId="0" fillId="3" borderId="1" xfId="0" applyNumberFormat="1" applyFill="1" applyBorder="1"/>
    <xf numFmtId="4" fontId="0" fillId="0" borderId="1" xfId="0" applyNumberFormat="1" applyBorder="1"/>
    <xf numFmtId="4" fontId="0" fillId="3" borderId="1" xfId="0" applyNumberFormat="1" applyFill="1" applyBorder="1"/>
    <xf numFmtId="4" fontId="3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32" customWidth="1"/>
    <col min="4" max="4" width="10" customWidth="1"/>
    <col min="5" max="5" width="13" customWidth="1"/>
    <col min="6" max="6" width="12" customWidth="1"/>
    <col min="7" max="7" width="13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30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 t="s">
        <v>8</v>
      </c>
      <c r="B4" s="3" t="s">
        <v>9</v>
      </c>
      <c r="C4" s="3" t="s">
        <v>10</v>
      </c>
      <c r="D4" s="3">
        <v>4</v>
      </c>
      <c r="E4" s="4">
        <v>400</v>
      </c>
      <c r="F4" s="4">
        <v>36000</v>
      </c>
      <c r="G4" s="5">
        <v>1.81</v>
      </c>
    </row>
    <row r="5" spans="1:7" x14ac:dyDescent="0.25">
      <c r="A5" s="6" t="s">
        <v>8</v>
      </c>
      <c r="B5" s="6" t="s">
        <v>11</v>
      </c>
      <c r="C5" s="6" t="s">
        <v>12</v>
      </c>
      <c r="D5" s="6">
        <v>4</v>
      </c>
      <c r="E5" s="7">
        <v>160</v>
      </c>
      <c r="F5" s="7">
        <v>14400</v>
      </c>
      <c r="G5" s="8">
        <v>0.72</v>
      </c>
    </row>
    <row r="6" spans="1:7" x14ac:dyDescent="0.25">
      <c r="A6" s="3" t="s">
        <v>8</v>
      </c>
      <c r="B6" s="3" t="s">
        <v>13</v>
      </c>
      <c r="C6" s="3" t="s">
        <v>14</v>
      </c>
      <c r="D6" s="3">
        <v>3</v>
      </c>
      <c r="E6" s="4">
        <v>36</v>
      </c>
      <c r="F6" s="4">
        <v>3300</v>
      </c>
      <c r="G6" s="5">
        <v>0.16</v>
      </c>
    </row>
    <row r="7" spans="1:7" x14ac:dyDescent="0.25">
      <c r="A7" s="6" t="s">
        <v>15</v>
      </c>
      <c r="B7" s="6" t="s">
        <v>16</v>
      </c>
      <c r="C7" s="6" t="s">
        <v>10</v>
      </c>
      <c r="D7" s="6">
        <v>5</v>
      </c>
      <c r="E7" s="7">
        <v>500</v>
      </c>
      <c r="F7" s="7">
        <v>45000</v>
      </c>
      <c r="G7" s="8">
        <v>2.27</v>
      </c>
    </row>
    <row r="8" spans="1:7" x14ac:dyDescent="0.25">
      <c r="A8" s="3" t="s">
        <v>17</v>
      </c>
      <c r="B8" s="3" t="s">
        <v>18</v>
      </c>
      <c r="C8" s="3" t="s">
        <v>10</v>
      </c>
      <c r="D8" s="3">
        <v>5</v>
      </c>
      <c r="E8" s="4">
        <v>500</v>
      </c>
      <c r="F8" s="4">
        <v>45000</v>
      </c>
      <c r="G8" s="5">
        <v>2.27</v>
      </c>
    </row>
    <row r="9" spans="1:7" x14ac:dyDescent="0.25">
      <c r="A9" s="6" t="s">
        <v>19</v>
      </c>
      <c r="B9" s="6" t="s">
        <v>20</v>
      </c>
      <c r="C9" s="6" t="s">
        <v>10</v>
      </c>
      <c r="D9" s="6">
        <v>2</v>
      </c>
      <c r="E9" s="7">
        <v>200</v>
      </c>
      <c r="F9" s="7">
        <v>18000</v>
      </c>
      <c r="G9" s="8">
        <v>0.91</v>
      </c>
    </row>
    <row r="10" spans="1:7" x14ac:dyDescent="0.25">
      <c r="A10" s="3" t="s">
        <v>19</v>
      </c>
      <c r="B10" s="3" t="s">
        <v>21</v>
      </c>
      <c r="C10" s="3" t="s">
        <v>22</v>
      </c>
      <c r="D10" s="3">
        <v>2</v>
      </c>
      <c r="E10" s="4">
        <v>200</v>
      </c>
      <c r="F10" s="4">
        <v>18000</v>
      </c>
      <c r="G10" s="5">
        <v>0.91</v>
      </c>
    </row>
    <row r="11" spans="1:7" x14ac:dyDescent="0.25">
      <c r="A11" s="9" t="s">
        <v>8</v>
      </c>
      <c r="B11" s="9" t="s">
        <v>23</v>
      </c>
      <c r="C11" s="9" t="s">
        <v>24</v>
      </c>
      <c r="D11" s="9" t="s">
        <v>24</v>
      </c>
      <c r="E11" s="10">
        <v>596</v>
      </c>
      <c r="F11" s="10">
        <v>53700</v>
      </c>
      <c r="G11" s="11">
        <v>2.69</v>
      </c>
    </row>
    <row r="12" spans="1:7" x14ac:dyDescent="0.25">
      <c r="A12" s="9" t="s">
        <v>15</v>
      </c>
      <c r="B12" s="9" t="s">
        <v>23</v>
      </c>
      <c r="C12" s="9" t="s">
        <v>24</v>
      </c>
      <c r="D12" s="9" t="s">
        <v>24</v>
      </c>
      <c r="E12" s="10">
        <v>500</v>
      </c>
      <c r="F12" s="10">
        <v>45000</v>
      </c>
      <c r="G12" s="11">
        <v>2.27</v>
      </c>
    </row>
    <row r="13" spans="1:7" x14ac:dyDescent="0.25">
      <c r="A13" s="9" t="s">
        <v>17</v>
      </c>
      <c r="B13" s="9" t="s">
        <v>23</v>
      </c>
      <c r="C13" s="9" t="s">
        <v>24</v>
      </c>
      <c r="D13" s="9" t="s">
        <v>24</v>
      </c>
      <c r="E13" s="10">
        <v>500</v>
      </c>
      <c r="F13" s="10">
        <v>45000</v>
      </c>
      <c r="G13" s="11">
        <v>2.27</v>
      </c>
    </row>
    <row r="14" spans="1:7" x14ac:dyDescent="0.25">
      <c r="A14" s="9" t="s">
        <v>19</v>
      </c>
      <c r="B14" s="9" t="s">
        <v>23</v>
      </c>
      <c r="C14" s="9" t="s">
        <v>24</v>
      </c>
      <c r="D14" s="9" t="s">
        <v>24</v>
      </c>
      <c r="E14" s="10">
        <v>400</v>
      </c>
      <c r="F14" s="10">
        <v>36000</v>
      </c>
      <c r="G14" s="11">
        <v>1.82</v>
      </c>
    </row>
    <row r="16" spans="1:1" x14ac:dyDescent="0.25">
      <c r="A16" s="12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22" customWidth="1"/>
    <col min="4" max="5" width="13" customWidth="1"/>
  </cols>
  <sheetData>
    <row r="1" ht="24" customHeight="1" spans="1:5" x14ac:dyDescent="0.25">
      <c r="A1" s="1" t="s">
        <v>26</v>
      </c>
      <c r="B1" s="1"/>
      <c r="C1" s="1"/>
      <c r="D1" s="1"/>
      <c r="E1" s="1"/>
    </row>
    <row r="3" ht="30" customHeight="1" spans="1:5" x14ac:dyDescent="0.25">
      <c r="A3" s="2" t="s">
        <v>1</v>
      </c>
      <c r="B3" s="2" t="s">
        <v>27</v>
      </c>
      <c r="C3" s="2" t="s">
        <v>28</v>
      </c>
      <c r="D3" s="2" t="s">
        <v>5</v>
      </c>
      <c r="E3" s="2" t="s">
        <v>7</v>
      </c>
    </row>
    <row r="4" spans="1:5" x14ac:dyDescent="0.25">
      <c r="A4" s="3" t="s">
        <v>29</v>
      </c>
      <c r="B4" s="3" t="s">
        <v>30</v>
      </c>
      <c r="C4" s="3" t="s">
        <v>31</v>
      </c>
      <c r="D4" s="4">
        <v>2000</v>
      </c>
      <c r="E4" s="5">
        <v>8.81</v>
      </c>
    </row>
    <row r="5" spans="1:5" x14ac:dyDescent="0.25">
      <c r="A5" s="6" t="s">
        <v>29</v>
      </c>
      <c r="B5" s="6" t="s">
        <v>32</v>
      </c>
      <c r="C5" s="6" t="s">
        <v>31</v>
      </c>
      <c r="D5" s="7">
        <v>1600</v>
      </c>
      <c r="E5" s="8">
        <v>7.27</v>
      </c>
    </row>
    <row r="6" spans="1:5" x14ac:dyDescent="0.25">
      <c r="A6" s="3" t="s">
        <v>29</v>
      </c>
      <c r="B6" s="3" t="s">
        <v>33</v>
      </c>
      <c r="C6" s="3" t="s">
        <v>31</v>
      </c>
      <c r="D6" s="4">
        <v>1500</v>
      </c>
      <c r="E6" s="5">
        <v>6.81</v>
      </c>
    </row>
    <row r="7" spans="1:5" x14ac:dyDescent="0.25">
      <c r="A7" s="6" t="s">
        <v>29</v>
      </c>
      <c r="B7" s="6" t="s">
        <v>34</v>
      </c>
      <c r="C7" s="6" t="s">
        <v>31</v>
      </c>
      <c r="D7" s="7">
        <v>1400</v>
      </c>
      <c r="E7" s="8">
        <v>6.36</v>
      </c>
    </row>
    <row r="8" spans="1:5" x14ac:dyDescent="0.25">
      <c r="A8" s="9" t="s">
        <v>29</v>
      </c>
      <c r="B8" s="9" t="s">
        <v>35</v>
      </c>
      <c r="C8" s="9" t="s">
        <v>36</v>
      </c>
      <c r="D8" s="10">
        <v>3100</v>
      </c>
      <c r="E8" s="11">
        <v>14.09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22" customWidth="1"/>
    <col min="4" max="5" width="13" customWidth="1"/>
  </cols>
  <sheetData>
    <row r="1" ht="24" customHeight="1" spans="1:5" x14ac:dyDescent="0.25">
      <c r="A1" s="1" t="s">
        <v>37</v>
      </c>
      <c r="B1" s="1"/>
      <c r="C1" s="1"/>
      <c r="D1" s="1"/>
      <c r="E1" s="1"/>
    </row>
    <row r="3" ht="30" customHeight="1" spans="1:5" x14ac:dyDescent="0.25">
      <c r="A3" s="2" t="s">
        <v>1</v>
      </c>
      <c r="B3" s="2" t="s">
        <v>27</v>
      </c>
      <c r="C3" s="2" t="s">
        <v>28</v>
      </c>
      <c r="D3" s="2" t="s">
        <v>5</v>
      </c>
      <c r="E3" s="2" t="s">
        <v>7</v>
      </c>
    </row>
    <row r="4" spans="1:5" x14ac:dyDescent="0.25">
      <c r="A4" s="3" t="s">
        <v>38</v>
      </c>
      <c r="B4" s="3" t="s">
        <v>39</v>
      </c>
      <c r="C4" s="3" t="s">
        <v>40</v>
      </c>
      <c r="D4" s="4">
        <v>2200</v>
      </c>
      <c r="E4" s="5">
        <v>10</v>
      </c>
    </row>
    <row r="5" spans="1:5" x14ac:dyDescent="0.25">
      <c r="A5" s="9" t="s">
        <v>38</v>
      </c>
      <c r="B5" s="9" t="s">
        <v>23</v>
      </c>
      <c r="C5" s="9" t="s">
        <v>41</v>
      </c>
      <c r="D5" s="10">
        <v>3500</v>
      </c>
      <c r="E5" s="11">
        <v>15.91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  <col min="4" max="5" width="12" customWidth="1"/>
    <col min="6" max="7" width="14" customWidth="1"/>
    <col min="8" max="8" width="13" customWidth="1"/>
  </cols>
  <sheetData>
    <row r="1" ht="24" customHeight="1" spans="1:8" x14ac:dyDescent="0.25">
      <c r="A1" s="1" t="s">
        <v>42</v>
      </c>
      <c r="B1" s="1"/>
      <c r="C1" s="1"/>
      <c r="D1" s="1"/>
      <c r="E1" s="1"/>
      <c r="F1" s="1"/>
      <c r="G1" s="1"/>
      <c r="H1" s="1"/>
    </row>
    <row r="3" ht="30" customHeight="1" spans="1:8" x14ac:dyDescent="0.25">
      <c r="A3" s="2" t="s">
        <v>43</v>
      </c>
      <c r="B3" s="2" t="s">
        <v>1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</row>
    <row r="4" spans="1:8" x14ac:dyDescent="0.25">
      <c r="A4" s="3" t="s">
        <v>50</v>
      </c>
      <c r="B4" s="3" t="s">
        <v>8</v>
      </c>
      <c r="C4" s="3" t="s">
        <v>51</v>
      </c>
      <c r="D4" s="3">
        <v>2.5</v>
      </c>
      <c r="E4" s="13">
        <v>3.8</v>
      </c>
      <c r="F4" s="3" t="s">
        <v>52</v>
      </c>
      <c r="G4" s="13">
        <v>12.5</v>
      </c>
      <c r="H4" s="13">
        <v>27.7</v>
      </c>
    </row>
    <row r="5" spans="1:8" x14ac:dyDescent="0.25">
      <c r="A5" s="6" t="s">
        <v>53</v>
      </c>
      <c r="B5" s="6" t="s">
        <v>54</v>
      </c>
      <c r="C5" s="6" t="s">
        <v>55</v>
      </c>
      <c r="D5" s="6">
        <v>2.5</v>
      </c>
      <c r="E5" s="14">
        <v>3.8</v>
      </c>
      <c r="F5" s="6" t="s">
        <v>56</v>
      </c>
      <c r="G5" s="14">
        <v>15.4</v>
      </c>
      <c r="H5" s="14">
        <v>30.4</v>
      </c>
    </row>
    <row r="6" spans="1:8" x14ac:dyDescent="0.25">
      <c r="A6" s="3" t="s">
        <v>57</v>
      </c>
      <c r="B6" s="3" t="s">
        <v>19</v>
      </c>
      <c r="C6" s="3" t="s">
        <v>51</v>
      </c>
      <c r="D6" s="3">
        <v>2.5</v>
      </c>
      <c r="E6" s="13">
        <v>3.8</v>
      </c>
      <c r="F6" s="3" t="s">
        <v>52</v>
      </c>
      <c r="G6" s="13">
        <v>12.5</v>
      </c>
      <c r="H6" s="13">
        <v>27.7</v>
      </c>
    </row>
    <row r="7" spans="1:8" x14ac:dyDescent="0.25">
      <c r="A7" s="6" t="s">
        <v>58</v>
      </c>
      <c r="B7" s="6" t="s">
        <v>29</v>
      </c>
      <c r="C7" s="6" t="s">
        <v>51</v>
      </c>
      <c r="D7" s="6">
        <v>2.5</v>
      </c>
      <c r="E7" s="14">
        <v>3.8</v>
      </c>
      <c r="F7" s="6" t="s">
        <v>52</v>
      </c>
      <c r="G7" s="14">
        <v>12.5</v>
      </c>
      <c r="H7" s="14">
        <v>27.7</v>
      </c>
    </row>
    <row r="8" spans="1:8" x14ac:dyDescent="0.25">
      <c r="A8" s="3" t="s">
        <v>59</v>
      </c>
      <c r="B8" s="3" t="s">
        <v>38</v>
      </c>
      <c r="C8" s="3" t="s">
        <v>51</v>
      </c>
      <c r="D8" s="3">
        <v>4</v>
      </c>
      <c r="E8" s="13">
        <v>4.4</v>
      </c>
      <c r="F8" s="3" t="s">
        <v>56</v>
      </c>
      <c r="G8" s="13">
        <v>15.4</v>
      </c>
      <c r="H8" s="13">
        <v>24.5</v>
      </c>
    </row>
    <row r="9" spans="1:8" x14ac:dyDescent="0.25">
      <c r="A9" s="6" t="s">
        <v>60</v>
      </c>
      <c r="B9" s="6" t="s">
        <v>61</v>
      </c>
      <c r="C9" s="6" t="s">
        <v>62</v>
      </c>
      <c r="D9" s="6">
        <v>6</v>
      </c>
      <c r="E9" s="14">
        <v>5</v>
      </c>
      <c r="F9" s="6" t="s">
        <v>63</v>
      </c>
      <c r="G9" s="14">
        <v>20.8</v>
      </c>
      <c r="H9" s="14">
        <v>28.9</v>
      </c>
    </row>
    <row r="10" spans="1:8" x14ac:dyDescent="0.25">
      <c r="A10" s="3" t="s">
        <v>64</v>
      </c>
      <c r="B10" s="3" t="s">
        <v>65</v>
      </c>
      <c r="C10" s="3" t="s">
        <v>62</v>
      </c>
      <c r="D10" s="3">
        <v>10</v>
      </c>
      <c r="E10" s="13">
        <v>6.6</v>
      </c>
      <c r="F10" s="3" t="s">
        <v>66</v>
      </c>
      <c r="G10" s="13">
        <v>27</v>
      </c>
      <c r="H10" s="13">
        <v>29.9</v>
      </c>
    </row>
    <row r="12" spans="1:1" x14ac:dyDescent="0.25">
      <c r="A12" s="12" t="s">
        <v>67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60" customWidth="1"/>
    <col min="3" max="3" width="8" customWidth="1"/>
    <col min="4" max="4" width="10" customWidth="1"/>
    <col min="5" max="6" width="16" customWidth="1"/>
  </cols>
  <sheetData>
    <row r="1" ht="24" customHeight="1" spans="1:6" x14ac:dyDescent="0.25">
      <c r="A1" s="1" t="s">
        <v>68</v>
      </c>
      <c r="B1" s="1"/>
      <c r="C1" s="1"/>
      <c r="D1" s="1"/>
      <c r="E1" s="1"/>
      <c r="F1" s="1"/>
    </row>
    <row r="3" ht="30" customHeight="1" spans="1:6" x14ac:dyDescent="0.25">
      <c r="A3" s="2" t="s">
        <v>69</v>
      </c>
      <c r="B3" s="2" t="s">
        <v>70</v>
      </c>
      <c r="C3" s="2" t="s">
        <v>71</v>
      </c>
      <c r="D3" s="2" t="s">
        <v>4</v>
      </c>
      <c r="E3" s="2" t="s">
        <v>72</v>
      </c>
      <c r="F3" s="2" t="s">
        <v>73</v>
      </c>
    </row>
    <row r="4" spans="1:6" x14ac:dyDescent="0.25">
      <c r="A4" s="3" t="s">
        <v>44</v>
      </c>
      <c r="B4" s="3" t="s">
        <v>74</v>
      </c>
      <c r="C4" s="3" t="s">
        <v>75</v>
      </c>
      <c r="D4" s="3">
        <v>520</v>
      </c>
      <c r="E4" s="15">
        <v>0.45</v>
      </c>
      <c r="F4" s="15">
        <f>D4*E4</f>
        <v>234</v>
      </c>
    </row>
    <row r="5" spans="1:6" x14ac:dyDescent="0.25">
      <c r="A5" s="6" t="s">
        <v>44</v>
      </c>
      <c r="B5" s="6" t="s">
        <v>76</v>
      </c>
      <c r="C5" s="6" t="s">
        <v>75</v>
      </c>
      <c r="D5" s="6">
        <v>75</v>
      </c>
      <c r="E5" s="16">
        <v>0.7</v>
      </c>
      <c r="F5" s="16">
        <f>D5*E5</f>
        <v>52.5</v>
      </c>
    </row>
    <row r="6" spans="1:6" x14ac:dyDescent="0.25">
      <c r="A6" s="3" t="s">
        <v>44</v>
      </c>
      <c r="B6" s="3" t="s">
        <v>77</v>
      </c>
      <c r="C6" s="3" t="s">
        <v>75</v>
      </c>
      <c r="D6" s="3">
        <v>50</v>
      </c>
      <c r="E6" s="15">
        <v>1.05</v>
      </c>
      <c r="F6" s="15">
        <f>D6*E6</f>
        <v>52.5</v>
      </c>
    </row>
    <row r="7" spans="1:6" x14ac:dyDescent="0.25">
      <c r="A7" s="6" t="s">
        <v>44</v>
      </c>
      <c r="B7" s="6" t="s">
        <v>78</v>
      </c>
      <c r="C7" s="6" t="s">
        <v>75</v>
      </c>
      <c r="D7" s="6">
        <v>60</v>
      </c>
      <c r="E7" s="16">
        <v>1.75</v>
      </c>
      <c r="F7" s="16">
        <f>D7*E7</f>
        <v>105</v>
      </c>
    </row>
    <row r="8" spans="1:6" x14ac:dyDescent="0.25">
      <c r="A8" s="3" t="s">
        <v>44</v>
      </c>
      <c r="B8" s="3" t="s">
        <v>79</v>
      </c>
      <c r="C8" s="3" t="s">
        <v>75</v>
      </c>
      <c r="D8" s="3">
        <v>90</v>
      </c>
      <c r="E8" s="15">
        <v>2.6</v>
      </c>
      <c r="F8" s="15">
        <f>D8*E8</f>
        <v>234</v>
      </c>
    </row>
    <row r="9" spans="1:6" x14ac:dyDescent="0.25">
      <c r="A9" s="6" t="s">
        <v>44</v>
      </c>
      <c r="B9" s="6" t="s">
        <v>80</v>
      </c>
      <c r="C9" s="6" t="s">
        <v>75</v>
      </c>
      <c r="D9" s="6">
        <v>14</v>
      </c>
      <c r="E9" s="16">
        <v>5.5</v>
      </c>
      <c r="F9" s="16">
        <f>D9*E9</f>
        <v>77</v>
      </c>
    </row>
    <row r="10" spans="1:6" x14ac:dyDescent="0.25">
      <c r="A10" s="3" t="s">
        <v>81</v>
      </c>
      <c r="B10" s="3" t="s">
        <v>82</v>
      </c>
      <c r="C10" s="3" t="s">
        <v>83</v>
      </c>
      <c r="D10" s="3">
        <v>60</v>
      </c>
      <c r="E10" s="15">
        <v>6.5</v>
      </c>
      <c r="F10" s="15">
        <f>D10*E10</f>
        <v>390</v>
      </c>
    </row>
    <row r="11" spans="1:6" x14ac:dyDescent="0.25">
      <c r="A11" s="6" t="s">
        <v>81</v>
      </c>
      <c r="B11" s="6" t="s">
        <v>84</v>
      </c>
      <c r="C11" s="6" t="s">
        <v>83</v>
      </c>
      <c r="D11" s="6">
        <v>3</v>
      </c>
      <c r="E11" s="16">
        <v>9</v>
      </c>
      <c r="F11" s="16">
        <f>D11*E11</f>
        <v>27</v>
      </c>
    </row>
    <row r="12" spans="1:6" x14ac:dyDescent="0.25">
      <c r="A12" s="3" t="s">
        <v>81</v>
      </c>
      <c r="B12" s="3" t="s">
        <v>85</v>
      </c>
      <c r="C12" s="3" t="s">
        <v>83</v>
      </c>
      <c r="D12" s="3">
        <v>3</v>
      </c>
      <c r="E12" s="15">
        <v>12.5</v>
      </c>
      <c r="F12" s="15">
        <f>D12*E12</f>
        <v>37.5</v>
      </c>
    </row>
    <row r="13" spans="1:6" x14ac:dyDescent="0.25">
      <c r="A13" s="6" t="s">
        <v>81</v>
      </c>
      <c r="B13" s="6" t="s">
        <v>86</v>
      </c>
      <c r="C13" s="6" t="s">
        <v>83</v>
      </c>
      <c r="D13" s="6">
        <v>10</v>
      </c>
      <c r="E13" s="16">
        <v>22</v>
      </c>
      <c r="F13" s="16">
        <f>D13*E13</f>
        <v>220</v>
      </c>
    </row>
    <row r="14" spans="1:6" x14ac:dyDescent="0.25">
      <c r="A14" s="3" t="s">
        <v>81</v>
      </c>
      <c r="B14" s="3" t="s">
        <v>87</v>
      </c>
      <c r="C14" s="3" t="s">
        <v>88</v>
      </c>
      <c r="D14" s="3">
        <v>1</v>
      </c>
      <c r="E14" s="15">
        <v>95</v>
      </c>
      <c r="F14" s="15">
        <f>D14*E14</f>
        <v>95</v>
      </c>
    </row>
    <row r="15" spans="1:6" x14ac:dyDescent="0.25">
      <c r="A15" s="6" t="s">
        <v>81</v>
      </c>
      <c r="B15" s="6" t="s">
        <v>89</v>
      </c>
      <c r="C15" s="6" t="s">
        <v>88</v>
      </c>
      <c r="D15" s="6">
        <v>1</v>
      </c>
      <c r="E15" s="16">
        <v>140</v>
      </c>
      <c r="F15" s="16">
        <f>D15*E15</f>
        <v>140</v>
      </c>
    </row>
    <row r="16" spans="1:6" x14ac:dyDescent="0.25">
      <c r="A16" s="3" t="s">
        <v>90</v>
      </c>
      <c r="B16" s="3" t="s">
        <v>91</v>
      </c>
      <c r="C16" s="3" t="s">
        <v>83</v>
      </c>
      <c r="D16" s="3">
        <v>1</v>
      </c>
      <c r="E16" s="15">
        <v>150</v>
      </c>
      <c r="F16" s="15">
        <f>D16*E16</f>
        <v>150</v>
      </c>
    </row>
    <row r="17" spans="1:6" x14ac:dyDescent="0.25">
      <c r="A17" s="6" t="s">
        <v>90</v>
      </c>
      <c r="B17" s="6" t="s">
        <v>92</v>
      </c>
      <c r="C17" s="6" t="s">
        <v>83</v>
      </c>
      <c r="D17" s="6">
        <v>1</v>
      </c>
      <c r="E17" s="16">
        <v>230</v>
      </c>
      <c r="F17" s="16">
        <f>D17*E17</f>
        <v>230</v>
      </c>
    </row>
    <row r="18" spans="1:6" x14ac:dyDescent="0.25">
      <c r="A18" s="3" t="s">
        <v>90</v>
      </c>
      <c r="B18" s="3" t="s">
        <v>93</v>
      </c>
      <c r="C18" s="3" t="s">
        <v>83</v>
      </c>
      <c r="D18" s="3">
        <v>1</v>
      </c>
      <c r="E18" s="15">
        <v>85</v>
      </c>
      <c r="F18" s="15">
        <f>D18*E18</f>
        <v>85</v>
      </c>
    </row>
    <row r="19" spans="1:6" x14ac:dyDescent="0.25">
      <c r="A19" s="6" t="s">
        <v>90</v>
      </c>
      <c r="B19" s="6" t="s">
        <v>94</v>
      </c>
      <c r="C19" s="6" t="s">
        <v>88</v>
      </c>
      <c r="D19" s="6">
        <v>1</v>
      </c>
      <c r="E19" s="16">
        <v>90</v>
      </c>
      <c r="F19" s="16">
        <f>D19*E19</f>
        <v>90</v>
      </c>
    </row>
    <row r="20" spans="1:6" x14ac:dyDescent="0.25">
      <c r="A20" s="3" t="s">
        <v>95</v>
      </c>
      <c r="B20" s="3" t="s">
        <v>96</v>
      </c>
      <c r="C20" s="3" t="s">
        <v>83</v>
      </c>
      <c r="D20" s="3">
        <v>1</v>
      </c>
      <c r="E20" s="15">
        <v>45</v>
      </c>
      <c r="F20" s="15">
        <f>D20*E20</f>
        <v>45</v>
      </c>
    </row>
    <row r="21" spans="1:6" x14ac:dyDescent="0.25">
      <c r="A21" s="6" t="s">
        <v>95</v>
      </c>
      <c r="B21" s="6" t="s">
        <v>97</v>
      </c>
      <c r="C21" s="6" t="s">
        <v>83</v>
      </c>
      <c r="D21" s="6">
        <v>1</v>
      </c>
      <c r="E21" s="16">
        <v>95</v>
      </c>
      <c r="F21" s="16">
        <f>D21*E21</f>
        <v>95</v>
      </c>
    </row>
    <row r="22" spans="1:6" x14ac:dyDescent="0.25">
      <c r="A22" s="3" t="s">
        <v>95</v>
      </c>
      <c r="B22" s="3" t="s">
        <v>98</v>
      </c>
      <c r="C22" s="3" t="s">
        <v>83</v>
      </c>
      <c r="D22" s="3">
        <v>1</v>
      </c>
      <c r="E22" s="15">
        <v>40</v>
      </c>
      <c r="F22" s="15">
        <f>D22*E22</f>
        <v>40</v>
      </c>
    </row>
    <row r="23" spans="1:6" x14ac:dyDescent="0.25">
      <c r="A23" s="6" t="s">
        <v>95</v>
      </c>
      <c r="B23" s="6" t="s">
        <v>99</v>
      </c>
      <c r="C23" s="6" t="s">
        <v>83</v>
      </c>
      <c r="D23" s="6">
        <v>1</v>
      </c>
      <c r="E23" s="16">
        <v>38</v>
      </c>
      <c r="F23" s="16">
        <f>D23*E23</f>
        <v>38</v>
      </c>
    </row>
    <row r="24" spans="1:6" x14ac:dyDescent="0.25">
      <c r="A24" s="3" t="s">
        <v>95</v>
      </c>
      <c r="B24" s="3" t="s">
        <v>100</v>
      </c>
      <c r="C24" s="3" t="s">
        <v>83</v>
      </c>
      <c r="D24" s="3">
        <v>1</v>
      </c>
      <c r="E24" s="15">
        <v>95</v>
      </c>
      <c r="F24" s="15">
        <f>D24*E24</f>
        <v>95</v>
      </c>
    </row>
    <row r="25" spans="1:6" x14ac:dyDescent="0.25">
      <c r="A25" s="6" t="s">
        <v>95</v>
      </c>
      <c r="B25" s="6" t="s">
        <v>101</v>
      </c>
      <c r="C25" s="6" t="s">
        <v>83</v>
      </c>
      <c r="D25" s="6">
        <v>3</v>
      </c>
      <c r="E25" s="16">
        <v>45</v>
      </c>
      <c r="F25" s="16">
        <f>D25*E25</f>
        <v>135</v>
      </c>
    </row>
    <row r="26" spans="1:6" x14ac:dyDescent="0.25">
      <c r="A26" s="3" t="s">
        <v>95</v>
      </c>
      <c r="B26" s="3" t="s">
        <v>102</v>
      </c>
      <c r="C26" s="3" t="s">
        <v>83</v>
      </c>
      <c r="D26" s="3">
        <v>5</v>
      </c>
      <c r="E26" s="15">
        <v>12</v>
      </c>
      <c r="F26" s="15">
        <f>D26*E26</f>
        <v>60</v>
      </c>
    </row>
    <row r="27" spans="1:6" x14ac:dyDescent="0.25">
      <c r="A27" s="6" t="s">
        <v>95</v>
      </c>
      <c r="B27" s="6" t="s">
        <v>103</v>
      </c>
      <c r="C27" s="6" t="s">
        <v>83</v>
      </c>
      <c r="D27" s="6">
        <v>1</v>
      </c>
      <c r="E27" s="16">
        <v>13</v>
      </c>
      <c r="F27" s="16">
        <f>D27*E27</f>
        <v>13</v>
      </c>
    </row>
    <row r="28" spans="1:6" x14ac:dyDescent="0.25">
      <c r="A28" s="3" t="s">
        <v>95</v>
      </c>
      <c r="B28" s="3" t="s">
        <v>104</v>
      </c>
      <c r="C28" s="3" t="s">
        <v>83</v>
      </c>
      <c r="D28" s="3">
        <v>1</v>
      </c>
      <c r="E28" s="15">
        <v>11</v>
      </c>
      <c r="F28" s="15">
        <f>D28*E28</f>
        <v>11</v>
      </c>
    </row>
    <row r="29" spans="1:6" x14ac:dyDescent="0.25">
      <c r="A29" s="6" t="s">
        <v>95</v>
      </c>
      <c r="B29" s="6" t="s">
        <v>105</v>
      </c>
      <c r="C29" s="6" t="s">
        <v>83</v>
      </c>
      <c r="D29" s="6">
        <v>1</v>
      </c>
      <c r="E29" s="16">
        <v>60</v>
      </c>
      <c r="F29" s="16">
        <f>D29*E29</f>
        <v>60</v>
      </c>
    </row>
    <row r="30" spans="1:6" x14ac:dyDescent="0.25">
      <c r="A30" s="3" t="s">
        <v>106</v>
      </c>
      <c r="B30" s="3" t="s">
        <v>107</v>
      </c>
      <c r="C30" s="3" t="s">
        <v>83</v>
      </c>
      <c r="D30" s="3">
        <v>4</v>
      </c>
      <c r="E30" s="15">
        <v>55</v>
      </c>
      <c r="F30" s="15">
        <f>D30*E30</f>
        <v>220</v>
      </c>
    </row>
    <row r="31" spans="1:6" x14ac:dyDescent="0.25">
      <c r="A31" s="6" t="s">
        <v>106</v>
      </c>
      <c r="B31" s="6" t="s">
        <v>108</v>
      </c>
      <c r="C31" s="6" t="s">
        <v>83</v>
      </c>
      <c r="D31" s="6">
        <v>1</v>
      </c>
      <c r="E31" s="16">
        <v>52</v>
      </c>
      <c r="F31" s="16">
        <f>D31*E31</f>
        <v>52</v>
      </c>
    </row>
    <row r="32" spans="1:6" x14ac:dyDescent="0.25">
      <c r="A32" s="3" t="s">
        <v>106</v>
      </c>
      <c r="B32" s="3" t="s">
        <v>109</v>
      </c>
      <c r="C32" s="3" t="s">
        <v>83</v>
      </c>
      <c r="D32" s="3">
        <v>2</v>
      </c>
      <c r="E32" s="15">
        <v>45</v>
      </c>
      <c r="F32" s="15">
        <f>D32*E32</f>
        <v>90</v>
      </c>
    </row>
    <row r="33" spans="1:6" x14ac:dyDescent="0.25">
      <c r="A33" s="6" t="s">
        <v>106</v>
      </c>
      <c r="B33" s="6" t="s">
        <v>110</v>
      </c>
      <c r="C33" s="6" t="s">
        <v>83</v>
      </c>
      <c r="D33" s="6">
        <v>3</v>
      </c>
      <c r="E33" s="16">
        <v>35</v>
      </c>
      <c r="F33" s="16">
        <f>D33*E33</f>
        <v>105</v>
      </c>
    </row>
    <row r="34" spans="1:6" x14ac:dyDescent="0.25">
      <c r="A34" s="3" t="s">
        <v>106</v>
      </c>
      <c r="B34" s="3" t="s">
        <v>111</v>
      </c>
      <c r="C34" s="3" t="s">
        <v>83</v>
      </c>
      <c r="D34" s="3">
        <v>1</v>
      </c>
      <c r="E34" s="15">
        <v>30</v>
      </c>
      <c r="F34" s="15">
        <f>D34*E34</f>
        <v>30</v>
      </c>
    </row>
    <row r="35" spans="1:6" x14ac:dyDescent="0.25">
      <c r="A35" s="6" t="s">
        <v>106</v>
      </c>
      <c r="B35" s="6" t="s">
        <v>112</v>
      </c>
      <c r="C35" s="6" t="s">
        <v>113</v>
      </c>
      <c r="D35" s="6">
        <v>5</v>
      </c>
      <c r="E35" s="16">
        <v>12</v>
      </c>
      <c r="F35" s="16">
        <f>D35*E35</f>
        <v>60</v>
      </c>
    </row>
    <row r="36" spans="1:6" x14ac:dyDescent="0.25">
      <c r="A36" s="3" t="s">
        <v>106</v>
      </c>
      <c r="B36" s="3" t="s">
        <v>114</v>
      </c>
      <c r="C36" s="3" t="s">
        <v>83</v>
      </c>
      <c r="D36" s="3">
        <v>9</v>
      </c>
      <c r="E36" s="15">
        <v>14</v>
      </c>
      <c r="F36" s="15">
        <f>D36*E36</f>
        <v>126</v>
      </c>
    </row>
    <row r="37" spans="1:6" x14ac:dyDescent="0.25">
      <c r="A37" s="6" t="s">
        <v>106</v>
      </c>
      <c r="B37" s="6" t="s">
        <v>115</v>
      </c>
      <c r="C37" s="6" t="s">
        <v>83</v>
      </c>
      <c r="D37" s="6">
        <v>10</v>
      </c>
      <c r="E37" s="16">
        <v>4</v>
      </c>
      <c r="F37" s="16">
        <f>D37*E37</f>
        <v>40</v>
      </c>
    </row>
    <row r="38" spans="1:6" x14ac:dyDescent="0.25">
      <c r="A38" s="3" t="s">
        <v>116</v>
      </c>
      <c r="B38" s="3" t="s">
        <v>117</v>
      </c>
      <c r="C38" s="3" t="s">
        <v>83</v>
      </c>
      <c r="D38" s="3">
        <v>4</v>
      </c>
      <c r="E38" s="15">
        <v>25</v>
      </c>
      <c r="F38" s="15">
        <f>D38*E38</f>
        <v>100</v>
      </c>
    </row>
    <row r="39" spans="1:6" x14ac:dyDescent="0.25">
      <c r="A39" s="6" t="s">
        <v>116</v>
      </c>
      <c r="B39" s="6" t="s">
        <v>118</v>
      </c>
      <c r="C39" s="6" t="s">
        <v>83</v>
      </c>
      <c r="D39" s="6">
        <v>12</v>
      </c>
      <c r="E39" s="16">
        <v>9</v>
      </c>
      <c r="F39" s="16">
        <f>D39*E39</f>
        <v>108</v>
      </c>
    </row>
    <row r="40" spans="1:6" x14ac:dyDescent="0.25">
      <c r="A40" s="3" t="s">
        <v>116</v>
      </c>
      <c r="B40" s="3" t="s">
        <v>119</v>
      </c>
      <c r="C40" s="3" t="s">
        <v>83</v>
      </c>
      <c r="D40" s="3">
        <v>6</v>
      </c>
      <c r="E40" s="15">
        <v>45</v>
      </c>
      <c r="F40" s="15">
        <f>D40*E40</f>
        <v>270</v>
      </c>
    </row>
    <row r="41" spans="1:6" x14ac:dyDescent="0.25">
      <c r="A41" s="6" t="s">
        <v>116</v>
      </c>
      <c r="B41" s="6" t="s">
        <v>120</v>
      </c>
      <c r="C41" s="6" t="s">
        <v>83</v>
      </c>
      <c r="D41" s="6">
        <v>2</v>
      </c>
      <c r="E41" s="16">
        <v>12</v>
      </c>
      <c r="F41" s="16">
        <f>D41*E41</f>
        <v>24</v>
      </c>
    </row>
    <row r="42" spans="1:6" x14ac:dyDescent="0.25">
      <c r="A42" s="3" t="s">
        <v>121</v>
      </c>
      <c r="B42" s="3" t="s">
        <v>122</v>
      </c>
      <c r="C42" s="3" t="s">
        <v>83</v>
      </c>
      <c r="D42" s="3">
        <v>16</v>
      </c>
      <c r="E42" s="15">
        <v>55</v>
      </c>
      <c r="F42" s="15">
        <f>D42*E42</f>
        <v>880</v>
      </c>
    </row>
    <row r="43" spans="1:6" x14ac:dyDescent="0.25">
      <c r="A43" s="6" t="s">
        <v>121</v>
      </c>
      <c r="B43" s="6" t="s">
        <v>123</v>
      </c>
      <c r="C43" s="6" t="s">
        <v>83</v>
      </c>
      <c r="D43" s="6">
        <v>2</v>
      </c>
      <c r="E43" s="16">
        <v>180</v>
      </c>
      <c r="F43" s="16">
        <f>D43*E43</f>
        <v>360</v>
      </c>
    </row>
    <row r="44" spans="1:6" x14ac:dyDescent="0.25">
      <c r="A44" s="3" t="s">
        <v>121</v>
      </c>
      <c r="B44" s="3" t="s">
        <v>124</v>
      </c>
      <c r="C44" s="3" t="s">
        <v>83</v>
      </c>
      <c r="D44" s="3">
        <v>5</v>
      </c>
      <c r="E44" s="15">
        <v>20</v>
      </c>
      <c r="F44" s="15">
        <f>D44*E44</f>
        <v>100</v>
      </c>
    </row>
    <row r="45" spans="1:6" x14ac:dyDescent="0.25">
      <c r="A45" s="6" t="s">
        <v>121</v>
      </c>
      <c r="B45" s="6" t="s">
        <v>125</v>
      </c>
      <c r="C45" s="6" t="s">
        <v>83</v>
      </c>
      <c r="D45" s="6">
        <v>2</v>
      </c>
      <c r="E45" s="16">
        <v>8</v>
      </c>
      <c r="F45" s="16">
        <f>D45*E45</f>
        <v>16</v>
      </c>
    </row>
    <row r="46" spans="1:6" x14ac:dyDescent="0.25">
      <c r="A46" s="3" t="s">
        <v>121</v>
      </c>
      <c r="B46" s="3" t="s">
        <v>126</v>
      </c>
      <c r="C46" s="3" t="s">
        <v>88</v>
      </c>
      <c r="D46" s="3">
        <v>1</v>
      </c>
      <c r="E46" s="15">
        <v>60</v>
      </c>
      <c r="F46" s="15">
        <f>D46*E46</f>
        <v>60</v>
      </c>
    </row>
    <row r="47" spans="1:6" x14ac:dyDescent="0.25">
      <c r="A47" s="6" t="s">
        <v>127</v>
      </c>
      <c r="B47" s="6" t="s">
        <v>128</v>
      </c>
      <c r="C47" s="6" t="s">
        <v>83</v>
      </c>
      <c r="D47" s="6">
        <v>1</v>
      </c>
      <c r="E47" s="16">
        <v>45</v>
      </c>
      <c r="F47" s="16">
        <f>D47*E47</f>
        <v>45</v>
      </c>
    </row>
    <row r="48" spans="1:6" x14ac:dyDescent="0.25">
      <c r="A48" s="3" t="s">
        <v>129</v>
      </c>
      <c r="B48" s="3" t="s">
        <v>130</v>
      </c>
      <c r="C48" s="3" t="s">
        <v>83</v>
      </c>
      <c r="D48" s="3">
        <v>1</v>
      </c>
      <c r="E48" s="15">
        <v>150</v>
      </c>
      <c r="F48" s="15">
        <f>D48*E48</f>
        <v>150</v>
      </c>
    </row>
    <row r="49" spans="1:6" x14ac:dyDescent="0.25">
      <c r="A49" s="6" t="s">
        <v>129</v>
      </c>
      <c r="B49" s="6" t="s">
        <v>131</v>
      </c>
      <c r="C49" s="6" t="s">
        <v>83</v>
      </c>
      <c r="D49" s="6">
        <v>2</v>
      </c>
      <c r="E49" s="16">
        <v>18</v>
      </c>
      <c r="F49" s="16">
        <f>D49*E49</f>
        <v>36</v>
      </c>
    </row>
    <row r="50" spans="1:6" x14ac:dyDescent="0.25">
      <c r="A50" s="3" t="s">
        <v>129</v>
      </c>
      <c r="B50" s="3" t="s">
        <v>132</v>
      </c>
      <c r="C50" s="3" t="s">
        <v>83</v>
      </c>
      <c r="D50" s="3">
        <v>2</v>
      </c>
      <c r="E50" s="15">
        <v>60</v>
      </c>
      <c r="F50" s="15">
        <f>D50*E50</f>
        <v>120</v>
      </c>
    </row>
    <row r="51" spans="1:6" x14ac:dyDescent="0.25">
      <c r="A51" s="6" t="s">
        <v>129</v>
      </c>
      <c r="B51" s="6" t="s">
        <v>133</v>
      </c>
      <c r="C51" s="6" t="s">
        <v>83</v>
      </c>
      <c r="D51" s="6">
        <v>2</v>
      </c>
      <c r="E51" s="16">
        <v>25</v>
      </c>
      <c r="F51" s="16">
        <f>D51*E51</f>
        <v>50</v>
      </c>
    </row>
    <row r="52" spans="1:6" x14ac:dyDescent="0.25">
      <c r="A52" s="3" t="s">
        <v>129</v>
      </c>
      <c r="B52" s="3" t="s">
        <v>134</v>
      </c>
      <c r="C52" s="3" t="s">
        <v>83</v>
      </c>
      <c r="D52" s="3">
        <v>4</v>
      </c>
      <c r="E52" s="15">
        <v>20</v>
      </c>
      <c r="F52" s="15">
        <f>D52*E52</f>
        <v>80</v>
      </c>
    </row>
    <row r="53" spans="1:6" x14ac:dyDescent="0.25">
      <c r="A53" s="6" t="s">
        <v>129</v>
      </c>
      <c r="B53" s="6" t="s">
        <v>135</v>
      </c>
      <c r="C53" s="6" t="s">
        <v>88</v>
      </c>
      <c r="D53" s="6">
        <v>1</v>
      </c>
      <c r="E53" s="16">
        <v>220</v>
      </c>
      <c r="F53" s="16">
        <f>D53*E53</f>
        <v>220</v>
      </c>
    </row>
    <row r="54" spans="1:6" x14ac:dyDescent="0.25">
      <c r="A54" s="3" t="s">
        <v>129</v>
      </c>
      <c r="B54" s="3" t="s">
        <v>136</v>
      </c>
      <c r="C54" s="3" t="s">
        <v>88</v>
      </c>
      <c r="D54" s="3">
        <v>1</v>
      </c>
      <c r="E54" s="15">
        <v>75</v>
      </c>
      <c r="F54" s="15">
        <f>D54*E54</f>
        <v>75</v>
      </c>
    </row>
    <row r="55" spans="1:6" x14ac:dyDescent="0.25">
      <c r="A55" s="9" t="s">
        <v>24</v>
      </c>
      <c r="B55" s="9" t="s">
        <v>137</v>
      </c>
      <c r="C55" s="9" t="s">
        <v>24</v>
      </c>
      <c r="D55" s="9" t="s">
        <v>24</v>
      </c>
      <c r="E55" s="17" t="s">
        <v>24</v>
      </c>
      <c r="F55" s="17">
        <v>6228.5</v>
      </c>
    </row>
    <row r="56" spans="1:6" x14ac:dyDescent="0.25">
      <c r="A56" s="9" t="s">
        <v>24</v>
      </c>
      <c r="B56" s="9" t="s">
        <v>138</v>
      </c>
      <c r="C56" s="9" t="s">
        <v>24</v>
      </c>
      <c r="D56" s="9" t="s">
        <v>24</v>
      </c>
      <c r="E56" s="17" t="s">
        <v>24</v>
      </c>
      <c r="F56" s="17">
        <v>2179.98</v>
      </c>
    </row>
    <row r="57" spans="1:6" x14ac:dyDescent="0.25">
      <c r="A57" s="9" t="s">
        <v>24</v>
      </c>
      <c r="B57" s="9" t="s">
        <v>139</v>
      </c>
      <c r="C57" s="9" t="s">
        <v>24</v>
      </c>
      <c r="D57" s="9" t="s">
        <v>24</v>
      </c>
      <c r="E57" s="17" t="s">
        <v>24</v>
      </c>
      <c r="F57" s="17">
        <v>622.85</v>
      </c>
    </row>
    <row r="58" spans="1:6" x14ac:dyDescent="0.25">
      <c r="A58" s="9" t="s">
        <v>24</v>
      </c>
      <c r="B58" s="9" t="s">
        <v>140</v>
      </c>
      <c r="C58" s="9" t="s">
        <v>24</v>
      </c>
      <c r="D58" s="9" t="s">
        <v>24</v>
      </c>
      <c r="E58" s="17" t="s">
        <v>24</v>
      </c>
      <c r="F58" s="17">
        <v>420.42</v>
      </c>
    </row>
    <row r="59" spans="1:6" x14ac:dyDescent="0.25">
      <c r="A59" s="9" t="s">
        <v>24</v>
      </c>
      <c r="B59" s="9" t="s">
        <v>141</v>
      </c>
      <c r="C59" s="9" t="s">
        <v>24</v>
      </c>
      <c r="D59" s="9" t="s">
        <v>24</v>
      </c>
      <c r="E59" s="17" t="s">
        <v>24</v>
      </c>
      <c r="F59" s="17">
        <v>1984.87</v>
      </c>
    </row>
    <row r="60" spans="1:6" x14ac:dyDescent="0.25">
      <c r="A60" s="9" t="s">
        <v>24</v>
      </c>
      <c r="B60" s="9" t="s">
        <v>142</v>
      </c>
      <c r="C60" s="9" t="s">
        <v>24</v>
      </c>
      <c r="D60" s="9" t="s">
        <v>24</v>
      </c>
      <c r="E60" s="17" t="s">
        <v>24</v>
      </c>
      <c r="F60" s="17">
        <v>11436.62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IUG</vt:lpstr>
      <vt:lpstr>TUG</vt:lpstr>
      <vt:lpstr>TUE</vt:lpstr>
      <vt:lpstr>Cañerías</vt:lpstr>
      <vt:lpstr>Cómputo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Vortex</dc:creator>
  <dc:title/>
  <dc:subject/>
  <dc:description/>
  <cp:keywords/>
  <cp:category/>
  <cp:lastModifiedBy>Unknown</cp:lastModifiedBy>
  <dcterms:created xsi:type="dcterms:W3CDTF">2026-10-14T21:45:25Z</dcterms:created>
  <dcterms:modified xsi:type="dcterms:W3CDTF">2026-10-14T21:45:25Z</dcterms:modified>
</cp:coreProperties>
</file>